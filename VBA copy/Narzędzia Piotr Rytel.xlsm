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rytpio\Desktop\"/>
    </mc:Choice>
  </mc:AlternateContent>
  <xr:revisionPtr revIDLastSave="0" documentId="13_ncr:1_{17576A8B-EB09-4800-A386-938BFE3F9B0D}" xr6:coauthVersionLast="36" xr6:coauthVersionMax="36" xr10:uidLastSave="{00000000-0000-0000-0000-000000000000}"/>
  <bookViews>
    <workbookView xWindow="480" yWindow="5400" windowWidth="16800" windowHeight="2400" xr2:uid="{00000000-000D-0000-FFFF-FFFF00000000}"/>
  </bookViews>
  <sheets>
    <sheet name="x" sheetId="2" r:id="rId1"/>
    <sheet name="Sheet2" sheetId="8" r:id="rId2"/>
    <sheet name="Sheet3" sheetId="9" r:id="rId3"/>
    <sheet name="csv" sheetId="3" state="hidden" r:id="rId4"/>
  </sheets>
  <functionGroups builtInGroupCount="19"/>
  <externalReferences>
    <externalReference r:id="rId5"/>
  </externalReferences>
  <definedNames>
    <definedName name="_xlnm._FilterDatabase" localSheetId="0" hidden="1">x!$A$7:$AT$212</definedName>
    <definedName name="Inżynieria_procesu">#REF!</definedName>
    <definedName name="Montaż_mechaniczny">#REF!</definedName>
    <definedName name="Montaż_urządzeń">#REF!</definedName>
    <definedName name="Montaż_wiązek">#REF!</definedName>
    <definedName name="Montaż_wiązek_Pruef..">#REF!</definedName>
    <definedName name="_xlnm.Print_Area" localSheetId="0">x!$E$1:$X$1</definedName>
    <definedName name="_xlnm.Print_Titles" localSheetId="0">x!$1:$1</definedName>
    <definedName name="PRUEFCOMPUTER">#REF!</definedName>
    <definedName name="RĘCZNA">#REF!</definedName>
    <definedName name="Typ_kontroli">#REF!</definedName>
  </definedNames>
  <calcPr calcId="191029"/>
</workbook>
</file>

<file path=xl/calcChain.xml><?xml version="1.0" encoding="utf-8"?>
<calcChain xmlns="http://schemas.openxmlformats.org/spreadsheetml/2006/main">
  <c r="U24" i="2" l="1"/>
  <c r="V24" i="2"/>
  <c r="V22" i="2"/>
  <c r="V21" i="2"/>
  <c r="P22" i="2"/>
  <c r="P21" i="2"/>
  <c r="U22" i="2" l="1"/>
  <c r="U21" i="2"/>
  <c r="I17" i="2" l="1"/>
  <c r="I14" i="2"/>
  <c r="T22" i="2"/>
  <c r="T21" i="2"/>
  <c r="T15" i="2"/>
  <c r="T14" i="2"/>
  <c r="T18" i="2"/>
  <c r="T17" i="2"/>
  <c r="S18" i="2"/>
  <c r="S17" i="2"/>
  <c r="S15" i="2"/>
  <c r="S14" i="2"/>
  <c r="S21" i="2"/>
  <c r="S22" i="2"/>
  <c r="R22" i="2"/>
  <c r="O22" i="2"/>
  <c r="R21" i="2"/>
  <c r="O21" i="2"/>
  <c r="Q17" i="2"/>
  <c r="P17" i="2"/>
  <c r="P14" i="2"/>
  <c r="O14" i="2"/>
  <c r="O17" i="2"/>
  <c r="G11" i="2" l="1"/>
  <c r="G10" i="2" l="1"/>
  <c r="G22" i="2" l="1"/>
  <c r="G23" i="2"/>
  <c r="G24" i="2"/>
  <c r="G25" i="2"/>
  <c r="G26" i="2"/>
  <c r="G27" i="2"/>
  <c r="G17" i="2"/>
  <c r="G18" i="2"/>
  <c r="G19" i="2"/>
  <c r="G20" i="2"/>
  <c r="G21" i="2"/>
  <c r="G12" i="2" l="1"/>
  <c r="G13" i="2"/>
  <c r="G14" i="2"/>
  <c r="G15" i="2"/>
  <c r="G16" i="2"/>
</calcChain>
</file>

<file path=xl/sharedStrings.xml><?xml version="1.0" encoding="utf-8"?>
<sst xmlns="http://schemas.openxmlformats.org/spreadsheetml/2006/main" count="975" uniqueCount="241">
  <si>
    <t>RemovalSztuklisty</t>
  </si>
  <si>
    <t>Lista dokumentacji:</t>
  </si>
  <si>
    <t>Wersja</t>
  </si>
  <si>
    <t>00x</t>
  </si>
  <si>
    <t>Folder z nowymi:</t>
  </si>
  <si>
    <t>Folder z poprzednimi:</t>
  </si>
  <si>
    <t>formula</t>
  </si>
  <si>
    <t>AAHB_A000</t>
  </si>
  <si>
    <t>AAS1_A000</t>
  </si>
  <si>
    <t>AAS2_A000</t>
  </si>
  <si>
    <t>AAS3_A000</t>
  </si>
  <si>
    <t>AFB2_A000</t>
  </si>
  <si>
    <t>AFB3_A000</t>
  </si>
  <si>
    <t>AFB5_A000</t>
  </si>
  <si>
    <t>AFB6_A000</t>
  </si>
  <si>
    <t>AFX_A000</t>
  </si>
  <si>
    <t>APX1_A000</t>
  </si>
  <si>
    <t>APX2_A000</t>
  </si>
  <si>
    <t>BAHB_A000</t>
  </si>
  <si>
    <t>BAS1_A000</t>
  </si>
  <si>
    <t>BAS2_A000</t>
  </si>
  <si>
    <t>BAS3_A000</t>
  </si>
  <si>
    <t>BFB1_A000</t>
  </si>
  <si>
    <t>BFB2_A000</t>
  </si>
  <si>
    <t>BFB3_A000</t>
  </si>
  <si>
    <t>BFB5_A000</t>
  </si>
  <si>
    <t>BFB6_A000</t>
  </si>
  <si>
    <t>BFX_A000</t>
  </si>
  <si>
    <t>BPX1_A000</t>
  </si>
  <si>
    <t>BPX2_A000</t>
  </si>
  <si>
    <t>CPX1_A000</t>
  </si>
  <si>
    <t>CPX2_A000</t>
  </si>
  <si>
    <t>DAHB_A000</t>
  </si>
  <si>
    <t>DAS4_A000</t>
  </si>
  <si>
    <t>DAS5_A000</t>
  </si>
  <si>
    <t>DPX1_A000</t>
  </si>
  <si>
    <t>DPX2_A000</t>
  </si>
  <si>
    <t>ECB1_A000</t>
  </si>
  <si>
    <t>EPX13_A000</t>
  </si>
  <si>
    <t>EPX1_A000</t>
  </si>
  <si>
    <t>EPX2_A000</t>
  </si>
  <si>
    <t>Lista do utworzenia folderów</t>
  </si>
  <si>
    <t>B side default</t>
  </si>
  <si>
    <t>B side</t>
  </si>
  <si>
    <t>B Post Process</t>
  </si>
  <si>
    <t>B Center Post Process</t>
  </si>
  <si>
    <t/>
  </si>
  <si>
    <t>Plik z dlugosciami /</t>
  </si>
  <si>
    <t>\\nws417\userhome$\rytpio\Desktop\78 po poprawce.xlsx /</t>
  </si>
  <si>
    <t>Folder z plikami csv /</t>
  </si>
  <si>
    <t>\\nws417\userhome$\rytpio\Desktop\xxxx /</t>
  </si>
  <si>
    <t xml:space="preserve"> /</t>
  </si>
  <si>
    <t>path_infor_old = r'F:\Engineering\STAG\PDF'  # sciezka do pbd infor</t>
  </si>
  <si>
    <t>path_infor = r'\\stadlerrail.ch\cadvault\Vault_PDF'  # sciezka do pbd CAD - wymaga usuwania _eng, _deu, _ita</t>
  </si>
  <si>
    <t>PR_4262000</t>
  </si>
  <si>
    <t>PR_4477616</t>
  </si>
  <si>
    <t>PR_4477578</t>
  </si>
  <si>
    <t>PR_2294354</t>
  </si>
  <si>
    <t>Fussboden Einbau WGT-A</t>
  </si>
  <si>
    <t>Złożenie podłogi Wagon A</t>
  </si>
  <si>
    <t>Wagen A</t>
  </si>
  <si>
    <t xml:space="preserve"> </t>
  </si>
  <si>
    <t>_</t>
  </si>
  <si>
    <t>x</t>
  </si>
  <si>
    <t>Winkelblech</t>
  </si>
  <si>
    <t>Kątownik</t>
  </si>
  <si>
    <t>BU_3425836</t>
  </si>
  <si>
    <t>Winkelblech gespiegelt</t>
  </si>
  <si>
    <t>Kątownik, lustrzane odbicie</t>
  </si>
  <si>
    <t>BU_3370793</t>
  </si>
  <si>
    <t>Profil</t>
  </si>
  <si>
    <t>BU_3352988</t>
  </si>
  <si>
    <t>BU_3353019</t>
  </si>
  <si>
    <t>Konsole</t>
  </si>
  <si>
    <t>Konsola</t>
  </si>
  <si>
    <t>BU_3395923</t>
  </si>
  <si>
    <t>BU_3392367</t>
  </si>
  <si>
    <t>Blechteil komplett</t>
  </si>
  <si>
    <t>Część blaszana kompletna</t>
  </si>
  <si>
    <t>BU_3397840</t>
  </si>
  <si>
    <t>BU_3396273</t>
  </si>
  <si>
    <t>BU_3397874</t>
  </si>
  <si>
    <t>Blechteil</t>
  </si>
  <si>
    <t>Część blaszana</t>
  </si>
  <si>
    <t>BU_3398793</t>
  </si>
  <si>
    <t>Profil geschweisst</t>
  </si>
  <si>
    <t>Profil spawany</t>
  </si>
  <si>
    <t>BU_3350768</t>
  </si>
  <si>
    <t>Profil geschweisst gespie.</t>
  </si>
  <si>
    <t>Profil spawany, lustrzane odbicie</t>
  </si>
  <si>
    <t>BU_3335086</t>
  </si>
  <si>
    <t>BU_3306498</t>
  </si>
  <si>
    <t>BU_3427520</t>
  </si>
  <si>
    <t>BU_3444587</t>
  </si>
  <si>
    <t>Dichtblech</t>
  </si>
  <si>
    <t>Płyta uszczelniająca</t>
  </si>
  <si>
    <t>BU_3350005</t>
  </si>
  <si>
    <t>c</t>
  </si>
  <si>
    <t>Dichtblech gespie.</t>
  </si>
  <si>
    <t>Płyta uszczelniająca - odbicie lustrzane</t>
  </si>
  <si>
    <t>PR_4332013</t>
  </si>
  <si>
    <t>Blechteil gebogen komplett</t>
  </si>
  <si>
    <t>Wygięta część z blachy kompletna</t>
  </si>
  <si>
    <t>PR_4376514</t>
  </si>
  <si>
    <t>PR_4447026</t>
  </si>
  <si>
    <t>Blechteil komplett gespiegelt</t>
  </si>
  <si>
    <t>Część blaszana kompletna - odbicie lustrzane</t>
  </si>
  <si>
    <t>Blechteil gebogen</t>
  </si>
  <si>
    <t>Wygięta część z blachy</t>
  </si>
  <si>
    <t>PR_4330302</t>
  </si>
  <si>
    <t>PR_4331220</t>
  </si>
  <si>
    <t>PR_4331519</t>
  </si>
  <si>
    <t>PR_4331642</t>
  </si>
  <si>
    <t>PR_4442180</t>
  </si>
  <si>
    <t>Halter</t>
  </si>
  <si>
    <t>Uchwyt</t>
  </si>
  <si>
    <t>PR_4412750</t>
  </si>
  <si>
    <t>Montageteile aus Holzplatten</t>
  </si>
  <si>
    <t>Elementy montażowe z płyt drewnianych</t>
  </si>
  <si>
    <t>PR_4478442</t>
  </si>
  <si>
    <t>Fussboden Einbau WGT-B</t>
  </si>
  <si>
    <t>Złożenie podłogi Wagon B</t>
  </si>
  <si>
    <t>PR_2294710</t>
  </si>
  <si>
    <t>BU_3372478</t>
  </si>
  <si>
    <t>Winkelblech gespie.</t>
  </si>
  <si>
    <t>BU_3372532</t>
  </si>
  <si>
    <t>PR_4471255</t>
  </si>
  <si>
    <t>PR_4471257</t>
  </si>
  <si>
    <t>PR_4471258</t>
  </si>
  <si>
    <t>PR_4526522</t>
  </si>
  <si>
    <t>Winkelblech gespie,</t>
  </si>
  <si>
    <t>PR_4338140</t>
  </si>
  <si>
    <t>Blechteil gebogen gespiegelt</t>
  </si>
  <si>
    <t>Wygięta część z blachy spawana</t>
  </si>
  <si>
    <t>PR_4479289</t>
  </si>
  <si>
    <t>Fussboden Einbau WGT-C</t>
  </si>
  <si>
    <t>Złożenie podłogi Wagon C</t>
  </si>
  <si>
    <t>Wagen C</t>
  </si>
  <si>
    <t>PR_2294610</t>
  </si>
  <si>
    <t>Profil gespie.</t>
  </si>
  <si>
    <t>Profil, lustrzane odbicie</t>
  </si>
  <si>
    <t>Profil gespiegelt</t>
  </si>
  <si>
    <t>Blechteil gespiegelt</t>
  </si>
  <si>
    <t>Część blaszana, odbicie lustrzane</t>
  </si>
  <si>
    <t>Platte</t>
  </si>
  <si>
    <t>Płyta</t>
  </si>
  <si>
    <t>BU_3419299</t>
  </si>
  <si>
    <t>BU_3418727</t>
  </si>
  <si>
    <t>BU_3433579</t>
  </si>
  <si>
    <t>BU_3434185</t>
  </si>
  <si>
    <t>BU_3434348</t>
  </si>
  <si>
    <t>PR_4334851</t>
  </si>
  <si>
    <t>PR_4479101</t>
  </si>
  <si>
    <t>PR_4471368</t>
  </si>
  <si>
    <t>PR_4471408</t>
  </si>
  <si>
    <t>Fussbodenbelag Einbau WGT-A</t>
  </si>
  <si>
    <t>Złożenie podłóg Wagon A</t>
  </si>
  <si>
    <t>BU_3444193</t>
  </si>
  <si>
    <t>BU_3441044</t>
  </si>
  <si>
    <t>Blechteil fuer Rollstuhlklappe</t>
  </si>
  <si>
    <t>Blaszana część klapy wózka inwalidzkiego</t>
  </si>
  <si>
    <t>PR_4468114</t>
  </si>
  <si>
    <t>BU_3444906</t>
  </si>
  <si>
    <t>BU_3444939</t>
  </si>
  <si>
    <t>BU_3445203</t>
  </si>
  <si>
    <t>BU_3444780</t>
  </si>
  <si>
    <t>BU_3444779</t>
  </si>
  <si>
    <t>Steckprofil L=163</t>
  </si>
  <si>
    <t>Profil wtykowy L=163</t>
  </si>
  <si>
    <t>PR_4245137</t>
  </si>
  <si>
    <t>Steckprofil L=283</t>
  </si>
  <si>
    <t>Profil wtykowy L=283</t>
  </si>
  <si>
    <t>PR_4245091</t>
  </si>
  <si>
    <t>Steckprofil L=1124</t>
  </si>
  <si>
    <t>Profil wtykowy L=1124</t>
  </si>
  <si>
    <t>PR_2292223</t>
  </si>
  <si>
    <t>Steckprofil L=355</t>
  </si>
  <si>
    <t>Profil wtykowy L=355</t>
  </si>
  <si>
    <t>PR_2293990</t>
  </si>
  <si>
    <t>LED L=602</t>
  </si>
  <si>
    <t>LED L=794</t>
  </si>
  <si>
    <t>PR_4477656</t>
  </si>
  <si>
    <t>LED L=548</t>
  </si>
  <si>
    <t>LED L=310</t>
  </si>
  <si>
    <t>PR_4476917</t>
  </si>
  <si>
    <t>LED gespie.</t>
  </si>
  <si>
    <t>LED, lustrzane odbicie</t>
  </si>
  <si>
    <t>LED L=1544</t>
  </si>
  <si>
    <t>PR_4477707</t>
  </si>
  <si>
    <t>Fussbodenbelag Piktogram</t>
  </si>
  <si>
    <t>Piktogram podłogi</t>
  </si>
  <si>
    <t>PR_4447741</t>
  </si>
  <si>
    <t>b</t>
  </si>
  <si>
    <t>BU_3441043</t>
  </si>
  <si>
    <t>BU_3444690</t>
  </si>
  <si>
    <t>Fussbodenbelag Einbau WGT-B</t>
  </si>
  <si>
    <t>Złożenie podłóg Wagon B</t>
  </si>
  <si>
    <t>PR_4308090</t>
  </si>
  <si>
    <t>BU_3435376</t>
  </si>
  <si>
    <t>BU_3435375</t>
  </si>
  <si>
    <t>Steckprofil L=82</t>
  </si>
  <si>
    <t>Profil wtykowy L=82</t>
  </si>
  <si>
    <t>PR_4249469</t>
  </si>
  <si>
    <t>Steckprofil L=360</t>
  </si>
  <si>
    <t>Profil wtykowy L=360</t>
  </si>
  <si>
    <t>PR_4249484</t>
  </si>
  <si>
    <t>Steckprofil L=30</t>
  </si>
  <si>
    <t>Profil wtykowy L=30</t>
  </si>
  <si>
    <t>PR_4249491</t>
  </si>
  <si>
    <t>Steckprofil L=446</t>
  </si>
  <si>
    <t>Profil wtykowy L=446</t>
  </si>
  <si>
    <t>PR_4249572</t>
  </si>
  <si>
    <t>Steckprofil gespiegelt L=446</t>
  </si>
  <si>
    <t>Profil wtykowy, lustrzane odbicie L=446</t>
  </si>
  <si>
    <t>Steckprofil gespiegelt L=82</t>
  </si>
  <si>
    <t>Profil wtykowy, lustrzane odbicie L=82</t>
  </si>
  <si>
    <t>BU_3419900</t>
  </si>
  <si>
    <t>Fussbodenbelag Einbau WGT-C</t>
  </si>
  <si>
    <t>Złożenie podłóg Wagon C</t>
  </si>
  <si>
    <t>PR_4308790</t>
  </si>
  <si>
    <t>PR_4415580</t>
  </si>
  <si>
    <t>Steckprofil gespiegelt L=355</t>
  </si>
  <si>
    <t>Profil wtykowy, lustrzane odbicie L=355</t>
  </si>
  <si>
    <t>BU_3450034</t>
  </si>
  <si>
    <t>PR_2290673</t>
  </si>
  <si>
    <t>PR_4275159</t>
  </si>
  <si>
    <t>PR_4275475</t>
  </si>
  <si>
    <t>PR_4724419</t>
  </si>
  <si>
    <t>BU_3058804</t>
  </si>
  <si>
    <t>BU_3757551</t>
  </si>
  <si>
    <t>PR_4881467</t>
  </si>
  <si>
    <t>PR_4309886</t>
  </si>
  <si>
    <t>PR_4262043</t>
  </si>
  <si>
    <t>PESA</t>
  </si>
  <si>
    <t>EMU</t>
  </si>
  <si>
    <t>Opcja</t>
  </si>
  <si>
    <t>STADLER</t>
  </si>
  <si>
    <t>opcja</t>
  </si>
  <si>
    <t xml:space="preserve">15 EMU 5tlg; luty.2023 ważność oferty; Budżet Mazowiecki; Budżet KPO; </t>
  </si>
  <si>
    <t>BMU</t>
  </si>
  <si>
    <t>bez cat.mgmt; bez zakup;bez dostępu do ich danych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</si>
</sst>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  <numFmt numFmtId="165" formatCode="0.0%"/>
    <numFmt numFmtId="167" formatCode="#,##0.00\ &quot;zł&quot;"/>
  </numFmts>
  <fonts count="7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sz val="10"/>
      <name val="Arial"/>
      <family val="2"/>
    </font>
    <font>
      <sz val="11"/>
      <color theme="1"/>
      <name val="Calibri"/>
      <family val="2"/>
      <charset val="238"/>
      <scheme val="minor"/>
    </font>
    <font>
      <sz val="8"/>
      <name val="Arial"/>
      <family val="2"/>
    </font>
    <font>
      <sz val="10"/>
      <color rgb="FF00000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Fill="1" applyBorder="1"/>
    <xf numFmtId="49" fontId="0" fillId="0" borderId="0" xfId="0" applyNumberFormat="1" applyFill="1" applyBorder="1"/>
    <xf numFmtId="0" fontId="0" fillId="0" borderId="0" xfId="0" applyNumberFormat="1" applyFill="1" applyBorder="1"/>
    <xf numFmtId="0" fontId="2" fillId="0" borderId="0" xfId="1" applyFill="1" applyBorder="1"/>
    <xf numFmtId="44" fontId="0" fillId="0" borderId="0" xfId="3" applyFont="1" applyFill="1" applyBorder="1"/>
    <xf numFmtId="0" fontId="5" fillId="0" borderId="1" xfId="0" applyNumberFormat="1" applyFont="1" applyFill="1" applyBorder="1" applyAlignment="1" applyProtection="1">
      <alignment horizontal="center" vertical="center"/>
      <protection hidden="1"/>
    </xf>
    <xf numFmtId="0" fontId="5" fillId="2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/>
    <xf numFmtId="0" fontId="0" fillId="0" borderId="0" xfId="0" quotePrefix="1" applyFill="1" applyBorder="1"/>
    <xf numFmtId="0" fontId="5" fillId="0" borderId="1" xfId="0" applyNumberFormat="1" applyFont="1" applyFill="1" applyBorder="1" applyAlignment="1" applyProtection="1">
      <alignment horizontal="left" vertical="center"/>
      <protection locked="0"/>
    </xf>
    <xf numFmtId="0" fontId="5" fillId="0" borderId="2" xfId="0" applyFont="1" applyBorder="1" applyAlignment="1" applyProtection="1">
      <alignment horizontal="left" vertical="center" wrapText="1"/>
      <protection locked="0"/>
    </xf>
    <xf numFmtId="0" fontId="5" fillId="0" borderId="3" xfId="0" applyNumberFormat="1" applyFont="1" applyFill="1" applyBorder="1" applyAlignment="1" applyProtection="1">
      <alignment horizontal="center" vertical="center"/>
      <protection hidden="1"/>
    </xf>
    <xf numFmtId="0" fontId="5" fillId="0" borderId="1" xfId="0" applyNumberFormat="1" applyFont="1" applyFill="1" applyBorder="1" applyAlignment="1" applyProtection="1">
      <alignment horizontal="left" vertical="center"/>
      <protection hidden="1"/>
    </xf>
    <xf numFmtId="0" fontId="5" fillId="0" borderId="1" xfId="0" applyNumberFormat="1" applyFont="1" applyFill="1" applyBorder="1" applyAlignment="1" applyProtection="1">
      <alignment horizontal="center" vertical="center" textRotation="90"/>
      <protection hidden="1"/>
    </xf>
    <xf numFmtId="49" fontId="5" fillId="0" borderId="1" xfId="0" applyNumberFormat="1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>
      <alignment horizontal="center" vertical="center"/>
    </xf>
    <xf numFmtId="0" fontId="5" fillId="0" borderId="1" xfId="0" applyNumberFormat="1" applyFont="1" applyFill="1" applyBorder="1" applyAlignment="1" applyProtection="1">
      <alignment horizontal="center" vertical="center" textRotation="90"/>
      <protection locked="0"/>
    </xf>
    <xf numFmtId="164" fontId="0" fillId="0" borderId="0" xfId="0" applyNumberFormat="1" applyFill="1" applyBorder="1"/>
    <xf numFmtId="9" fontId="0" fillId="0" borderId="0" xfId="4" applyFont="1" applyFill="1" applyBorder="1"/>
    <xf numFmtId="165" fontId="0" fillId="0" borderId="0" xfId="4" applyNumberFormat="1" applyFont="1" applyFill="1" applyBorder="1"/>
    <xf numFmtId="167" fontId="0" fillId="0" borderId="0" xfId="0" applyNumberFormat="1" applyFill="1" applyBorder="1"/>
  </cellXfs>
  <cellStyles count="5">
    <cellStyle name="Currency" xfId="3" builtinId="4"/>
    <cellStyle name="Hyperlink" xfId="1" builtinId="8"/>
    <cellStyle name="Normal" xfId="0" builtinId="0"/>
    <cellStyle name="Percent" xfId="4" builtinId="5"/>
    <cellStyle name="Standard 2" xfId="2" xr:uid="{84658075-8B66-4709-8083-583137B6CBC1}"/>
  </cellStyles>
  <dxfs count="6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003399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CC00"/>
        </patternFill>
      </fill>
    </dxf>
    <dxf>
      <fill>
        <patternFill patternType="solid">
          <fgColor indexed="64"/>
          <bgColor rgb="FFFF9900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003399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CC00"/>
        </patternFill>
      </fill>
    </dxf>
    <dxf>
      <fill>
        <patternFill patternType="solid">
          <fgColor indexed="64"/>
          <bgColor rgb="FFFF99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6</xdr:row>
          <xdr:rowOff>22860</xdr:rowOff>
        </xdr:from>
        <xdr:to>
          <xdr:col>6</xdr:col>
          <xdr:colOff>1051560</xdr:colOff>
          <xdr:row>7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0</xdr:row>
          <xdr:rowOff>60960</xdr:rowOff>
        </xdr:from>
        <xdr:to>
          <xdr:col>6</xdr:col>
          <xdr:colOff>1371600</xdr:colOff>
          <xdr:row>1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STK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2</xdr:row>
          <xdr:rowOff>68580</xdr:rowOff>
        </xdr:from>
        <xdr:to>
          <xdr:col>6</xdr:col>
          <xdr:colOff>1371600</xdr:colOff>
          <xdr:row>3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6</xdr:row>
          <xdr:rowOff>22860</xdr:rowOff>
        </xdr:from>
        <xdr:to>
          <xdr:col>6</xdr:col>
          <xdr:colOff>1051560</xdr:colOff>
          <xdr:row>7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0</xdr:row>
          <xdr:rowOff>60960</xdr:rowOff>
        </xdr:from>
        <xdr:to>
          <xdr:col>6</xdr:col>
          <xdr:colOff>1371600</xdr:colOff>
          <xdr:row>1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STK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2</xdr:row>
          <xdr:rowOff>68580</xdr:rowOff>
        </xdr:from>
        <xdr:to>
          <xdr:col>6</xdr:col>
          <xdr:colOff>1371600</xdr:colOff>
          <xdr:row>3</xdr:row>
          <xdr:rowOff>106680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6</xdr:row>
          <xdr:rowOff>22860</xdr:rowOff>
        </xdr:from>
        <xdr:to>
          <xdr:col>6</xdr:col>
          <xdr:colOff>1051560</xdr:colOff>
          <xdr:row>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0</xdr:row>
          <xdr:rowOff>60960</xdr:rowOff>
        </xdr:from>
        <xdr:to>
          <xdr:col>6</xdr:col>
          <xdr:colOff>1371600</xdr:colOff>
          <xdr:row>1</xdr:row>
          <xdr:rowOff>106680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STK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2</xdr:row>
          <xdr:rowOff>68580</xdr:rowOff>
        </xdr:from>
        <xdr:to>
          <xdr:col>6</xdr:col>
          <xdr:colOff>1371600</xdr:colOff>
          <xdr:row>3</xdr:row>
          <xdr:rowOff>106680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RYS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</xdr:row>
          <xdr:rowOff>60960</xdr:rowOff>
        </xdr:from>
        <xdr:to>
          <xdr:col>5</xdr:col>
          <xdr:colOff>137160</xdr:colOff>
          <xdr:row>3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Zrzuc dlugosci do CSV'ek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0</xdr:row>
          <xdr:rowOff>22860</xdr:rowOff>
        </xdr:from>
        <xdr:to>
          <xdr:col>8</xdr:col>
          <xdr:colOff>7620</xdr:colOff>
          <xdr:row>1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Utwórz foldery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arz&#281;dzia%20Piotr%20Rytel%20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"/>
      <sheetName val="Sheet1"/>
      <sheetName val="csv"/>
      <sheetName val="Narzędzia Piotr Rytel o"/>
    </sheetNames>
    <definedNames>
      <definedName name="KopiujInfor"/>
      <definedName name="UsunPBDRys"/>
      <definedName name="UsunPBDSTK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C1:AU212"/>
  <sheetViews>
    <sheetView tabSelected="1" zoomScaleNormal="100" workbookViewId="0">
      <selection activeCell="I27" sqref="I27"/>
    </sheetView>
  </sheetViews>
  <sheetFormatPr defaultColWidth="8.88671875" defaultRowHeight="14.4" x14ac:dyDescent="0.3"/>
  <cols>
    <col min="1" max="2" width="8.88671875" style="1"/>
    <col min="3" max="4" width="36.6640625" style="1" customWidth="1"/>
    <col min="5" max="5" width="20.109375" style="2" customWidth="1"/>
    <col min="6" max="6" width="8.6640625" style="3" customWidth="1"/>
    <col min="7" max="7" width="16.6640625" style="2" customWidth="1"/>
    <col min="8" max="8" width="34.6640625" style="2" customWidth="1"/>
    <col min="9" max="9" width="8.6640625" style="2" customWidth="1"/>
    <col min="10" max="10" width="16.6640625" style="2" customWidth="1"/>
    <col min="11" max="11" width="9.77734375" style="2" customWidth="1"/>
    <col min="12" max="12" width="8.88671875" style="2" customWidth="1"/>
    <col min="13" max="13" width="14.44140625" style="2" customWidth="1"/>
    <col min="14" max="14" width="8.88671875" style="2" customWidth="1"/>
    <col min="15" max="15" width="18" style="2" bestFit="1" customWidth="1"/>
    <col min="16" max="16" width="16.44140625" style="2" customWidth="1"/>
    <col min="17" max="17" width="8.88671875" style="2" customWidth="1"/>
    <col min="18" max="18" width="18" style="2" customWidth="1"/>
    <col min="19" max="19" width="7.6640625" style="2" customWidth="1"/>
    <col min="20" max="20" width="20.6640625" style="1" customWidth="1"/>
    <col min="21" max="21" width="15" style="1" customWidth="1"/>
    <col min="22" max="22" width="11.6640625" style="1" customWidth="1"/>
    <col min="23" max="23" width="8.88671875" style="1" customWidth="1"/>
    <col min="24" max="24" width="5.6640625" style="1" customWidth="1"/>
    <col min="25" max="16384" width="8.88671875" style="1"/>
  </cols>
  <sheetData>
    <row r="1" spans="4:47" x14ac:dyDescent="0.3">
      <c r="E1" s="1" t="s">
        <v>3</v>
      </c>
      <c r="F1" s="1"/>
      <c r="G1" s="1"/>
      <c r="H1" s="1" t="s">
        <v>0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 t="s">
        <v>52</v>
      </c>
      <c r="AP1" s="1" t="s">
        <v>42</v>
      </c>
      <c r="AQ1" s="1" t="s">
        <v>42</v>
      </c>
      <c r="AR1" s="1" t="s">
        <v>42</v>
      </c>
      <c r="AS1" s="1" t="s">
        <v>43</v>
      </c>
      <c r="AT1" s="1" t="s">
        <v>44</v>
      </c>
      <c r="AU1" s="1" t="s">
        <v>45</v>
      </c>
    </row>
    <row r="2" spans="4:47" x14ac:dyDescent="0.3">
      <c r="D2" s="1" t="s">
        <v>1</v>
      </c>
      <c r="E2" s="1" t="s">
        <v>2</v>
      </c>
      <c r="F2" s="1" t="s">
        <v>6</v>
      </c>
      <c r="G2" s="1"/>
      <c r="H2" s="1" t="s">
        <v>4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 t="s">
        <v>53</v>
      </c>
    </row>
    <row r="3" spans="4:47" x14ac:dyDescent="0.3">
      <c r="D3" s="13" t="s">
        <v>231</v>
      </c>
      <c r="F3" s="1"/>
      <c r="G3" s="1"/>
      <c r="H3" s="1" t="s">
        <v>5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4:47" x14ac:dyDescent="0.3">
      <c r="D4" s="13" t="s">
        <v>232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4:47" x14ac:dyDescent="0.3">
      <c r="D5" s="13" t="s">
        <v>224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4:47" x14ac:dyDescent="0.3">
      <c r="D6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4:47" x14ac:dyDescent="0.3">
      <c r="D7" s="13" t="s">
        <v>225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4:47" x14ac:dyDescent="0.3">
      <c r="D8"/>
      <c r="F8" s="1"/>
      <c r="G8" s="1"/>
      <c r="H8" s="1"/>
      <c r="I8" s="1"/>
      <c r="J8" s="1"/>
      <c r="K8" s="1" t="s">
        <v>46</v>
      </c>
      <c r="L8" s="1"/>
      <c r="M8" s="1"/>
      <c r="N8" s="1"/>
      <c r="O8" s="1"/>
      <c r="P8" s="1"/>
      <c r="Q8" s="1"/>
      <c r="R8" s="1"/>
      <c r="S8" s="1"/>
    </row>
    <row r="9" spans="4:47" x14ac:dyDescent="0.3">
      <c r="D9"/>
      <c r="E9" s="1"/>
      <c r="H9" s="1"/>
      <c r="I9" s="1"/>
      <c r="J9" s="1"/>
      <c r="K9" s="1" t="s">
        <v>46</v>
      </c>
      <c r="L9" s="1"/>
      <c r="M9" s="1"/>
      <c r="N9" s="1"/>
      <c r="O9" s="1"/>
      <c r="P9" s="1"/>
      <c r="Q9" s="1"/>
      <c r="R9" s="1"/>
      <c r="S9" s="1"/>
    </row>
    <row r="10" spans="4:47" x14ac:dyDescent="0.3">
      <c r="D10" s="13" t="s">
        <v>226</v>
      </c>
      <c r="E10" s="1"/>
      <c r="F10" s="2"/>
      <c r="G10" s="4" t="str">
        <f t="shared" ref="G10:G20" si="0">HYPERLINK("F:\Engineering\STAG\PDF\"&amp;D3&amp;".pdf",D3)</f>
        <v>PR_4309886</v>
      </c>
      <c r="H10" s="1"/>
      <c r="I10" s="1"/>
      <c r="J10" s="1"/>
      <c r="K10" s="1" t="s">
        <v>46</v>
      </c>
      <c r="L10" s="1"/>
      <c r="M10" s="1"/>
      <c r="N10" s="1"/>
      <c r="O10" s="1"/>
      <c r="P10" s="1"/>
      <c r="Q10" s="1"/>
      <c r="R10" s="1"/>
      <c r="S10" s="1"/>
    </row>
    <row r="11" spans="4:47" x14ac:dyDescent="0.3">
      <c r="D11"/>
      <c r="F11" s="1"/>
      <c r="G11" s="4" t="str">
        <f t="shared" si="0"/>
        <v>PR_4262043</v>
      </c>
      <c r="H11" s="1"/>
      <c r="I11" s="1"/>
      <c r="J11" s="1"/>
      <c r="K11" s="1"/>
      <c r="L11" s="1"/>
      <c r="M11" s="1"/>
      <c r="N11" s="1"/>
      <c r="O11" s="1" t="s">
        <v>238</v>
      </c>
      <c r="P11" s="1"/>
      <c r="Q11" s="1"/>
      <c r="R11" s="1"/>
      <c r="S11" s="1"/>
    </row>
    <row r="12" spans="4:47" x14ac:dyDescent="0.3">
      <c r="F12" s="1"/>
      <c r="G12" s="4" t="str">
        <f t="shared" si="0"/>
        <v>PR_2290673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4:47" x14ac:dyDescent="0.3">
      <c r="D13" s="13" t="s">
        <v>227</v>
      </c>
      <c r="F13" s="1"/>
      <c r="G13" s="4">
        <f t="shared" si="0"/>
        <v>0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4:47" x14ac:dyDescent="0.3">
      <c r="D14" s="13" t="s">
        <v>228</v>
      </c>
      <c r="F14" s="1"/>
      <c r="G14" s="4" t="str">
        <f t="shared" si="0"/>
        <v>PR_4275159</v>
      </c>
      <c r="H14" s="1"/>
      <c r="I14" s="1">
        <f>SUM(J14:J15)</f>
        <v>580087680</v>
      </c>
      <c r="J14" s="1">
        <v>458548920</v>
      </c>
      <c r="K14" s="1" t="s">
        <v>233</v>
      </c>
      <c r="L14" s="1">
        <v>15</v>
      </c>
      <c r="M14" s="1" t="s">
        <v>234</v>
      </c>
      <c r="N14" s="1">
        <v>2</v>
      </c>
      <c r="O14" s="18">
        <f>J14/L14</f>
        <v>30569928</v>
      </c>
      <c r="P14" s="18">
        <f>O14/N14</f>
        <v>15284964</v>
      </c>
      <c r="Q14" s="1"/>
      <c r="R14" s="18">
        <v>470000000</v>
      </c>
      <c r="S14" s="19">
        <f>J14/R14</f>
        <v>0.97563599999999995</v>
      </c>
      <c r="T14" s="18">
        <f>(S14-1)*R14</f>
        <v>-11451080.000000024</v>
      </c>
    </row>
    <row r="15" spans="4:47" x14ac:dyDescent="0.3">
      <c r="D15" s="13"/>
      <c r="E15" s="1"/>
      <c r="F15" s="1"/>
      <c r="G15" s="4">
        <f>HYPERLINK("F:\Engineering\STAG\PDF\"&amp;D8&amp;".pdf",D8)</f>
        <v>0</v>
      </c>
      <c r="H15" s="1"/>
      <c r="I15" s="1"/>
      <c r="J15" s="1">
        <v>121538760</v>
      </c>
      <c r="K15" s="1" t="s">
        <v>235</v>
      </c>
      <c r="L15" s="1"/>
      <c r="M15" s="1"/>
      <c r="N15" s="1"/>
      <c r="O15" s="18"/>
      <c r="P15" s="18"/>
      <c r="Q15" s="1"/>
      <c r="R15" s="18">
        <v>113000000</v>
      </c>
      <c r="S15" s="19">
        <f>J15/R15</f>
        <v>1.0755642477876106</v>
      </c>
      <c r="T15" s="18">
        <f>(S15-1)*R15</f>
        <v>8538760</v>
      </c>
    </row>
    <row r="16" spans="4:47" x14ac:dyDescent="0.3">
      <c r="E16" s="1"/>
      <c r="F16" s="1"/>
      <c r="G16" s="4">
        <f>HYPERLINK("F:\Engineering\STAG\PDF\"&amp;D9&amp;".pdf",D9)</f>
        <v>0</v>
      </c>
      <c r="H16" s="1"/>
      <c r="I16" s="1"/>
      <c r="J16" s="1"/>
      <c r="K16" s="1"/>
      <c r="L16" s="1"/>
      <c r="M16" s="1"/>
      <c r="N16" s="1"/>
      <c r="O16" s="18"/>
      <c r="P16" s="18"/>
      <c r="Q16" s="1"/>
      <c r="R16" s="1"/>
      <c r="S16" s="1"/>
    </row>
    <row r="17" spans="3:22" x14ac:dyDescent="0.3">
      <c r="D17" s="13" t="s">
        <v>229</v>
      </c>
      <c r="E17" s="1"/>
      <c r="F17" s="1"/>
      <c r="G17" s="4" t="str">
        <f t="shared" si="0"/>
        <v>PR_4275475</v>
      </c>
      <c r="H17" s="1"/>
      <c r="I17" s="20">
        <f>SUM(J17:J18)/I14</f>
        <v>1.2467832811067459</v>
      </c>
      <c r="J17" s="1">
        <v>559387764</v>
      </c>
      <c r="K17" s="1" t="s">
        <v>236</v>
      </c>
      <c r="L17" s="1">
        <v>15</v>
      </c>
      <c r="M17" s="1" t="s">
        <v>234</v>
      </c>
      <c r="N17" s="1">
        <v>2</v>
      </c>
      <c r="O17" s="18">
        <f>J17/L17</f>
        <v>37292517.600000001</v>
      </c>
      <c r="P17" s="18">
        <f>O17/N17</f>
        <v>18646258.800000001</v>
      </c>
      <c r="Q17" s="19">
        <f>O17/O14</f>
        <v>1.2199085846718383</v>
      </c>
      <c r="R17" s="18">
        <v>470000000</v>
      </c>
      <c r="S17" s="19">
        <f>J17/R17</f>
        <v>1.1901867319148935</v>
      </c>
      <c r="T17" s="18">
        <f>(S17-1)*R17</f>
        <v>89387763.99999997</v>
      </c>
    </row>
    <row r="18" spans="3:22" x14ac:dyDescent="0.3">
      <c r="E18" s="1"/>
      <c r="F18" s="1"/>
      <c r="G18" s="4">
        <f t="shared" si="0"/>
        <v>0</v>
      </c>
      <c r="H18" s="1"/>
      <c r="I18" s="1"/>
      <c r="J18" s="1">
        <v>163855857</v>
      </c>
      <c r="K18" s="1" t="s">
        <v>235</v>
      </c>
      <c r="L18" s="1"/>
      <c r="M18" s="1"/>
      <c r="N18" s="1"/>
      <c r="O18" s="1"/>
      <c r="P18" s="1"/>
      <c r="Q18" s="1"/>
      <c r="R18" s="18">
        <v>113000000</v>
      </c>
      <c r="S18" s="19">
        <f>J18/R18</f>
        <v>1.450051831858407</v>
      </c>
      <c r="T18" s="18">
        <f>(S18-1)*R18</f>
        <v>50855856.999999993</v>
      </c>
    </row>
    <row r="19" spans="3:22" x14ac:dyDescent="0.3">
      <c r="D19" s="13" t="s">
        <v>230</v>
      </c>
      <c r="E19" s="1"/>
      <c r="F19" s="1"/>
      <c r="G19" s="4">
        <f t="shared" si="0"/>
        <v>0</v>
      </c>
      <c r="H19" s="1"/>
      <c r="I19" s="1"/>
      <c r="J19" s="1"/>
      <c r="K19" s="1"/>
      <c r="L19" s="1"/>
      <c r="M19" s="5"/>
      <c r="N19" s="1"/>
      <c r="O19" s="1"/>
      <c r="P19" s="1"/>
      <c r="Q19" s="1"/>
      <c r="R19" s="1"/>
      <c r="S19" s="1"/>
    </row>
    <row r="20" spans="3:22" x14ac:dyDescent="0.3">
      <c r="E20" s="1"/>
      <c r="F20" s="1"/>
      <c r="G20" s="4" t="str">
        <f t="shared" si="0"/>
        <v>PR_4724419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3:22" x14ac:dyDescent="0.3">
      <c r="E21" s="1"/>
      <c r="F21" s="1"/>
      <c r="G21" s="4" t="str">
        <f t="shared" ref="G21" si="1">HYPERLINK("F:\Engineering\STAG\PDF\"&amp;D14&amp;".pdf",D14)</f>
        <v>BU_3058804</v>
      </c>
      <c r="H21" s="1"/>
      <c r="I21" s="1"/>
      <c r="J21" s="1"/>
      <c r="K21" s="1" t="s">
        <v>236</v>
      </c>
      <c r="L21" s="1">
        <v>25</v>
      </c>
      <c r="M21" s="1" t="s">
        <v>234</v>
      </c>
      <c r="N21" s="1">
        <v>5</v>
      </c>
      <c r="O21" s="18">
        <f>1.777*1000000000</f>
        <v>1777000000</v>
      </c>
      <c r="P21" s="18">
        <f>O21*0.15</f>
        <v>266550000</v>
      </c>
      <c r="Q21" s="1"/>
      <c r="R21" s="18">
        <f>1.255*1000000000</f>
        <v>1255000000</v>
      </c>
      <c r="S21" s="19">
        <f>O21/R21</f>
        <v>1.4159362549800796</v>
      </c>
      <c r="T21" s="18">
        <f>(S21-1)*R21</f>
        <v>521999999.99999988</v>
      </c>
      <c r="U21" s="18">
        <f>10000*5*L21</f>
        <v>1250000</v>
      </c>
      <c r="V21" s="20">
        <f>U21/(P21)</f>
        <v>4.6895516788595009E-3</v>
      </c>
    </row>
    <row r="22" spans="3:22" x14ac:dyDescent="0.3">
      <c r="D22" s="13" t="s">
        <v>224</v>
      </c>
      <c r="E22" s="1"/>
      <c r="F22" s="1"/>
      <c r="G22" s="4">
        <f t="shared" ref="G22:G27" si="2">HYPERLINK("F:\Engineering\STAG\PDF\"&amp;D15&amp;".pdf",D15)</f>
        <v>0</v>
      </c>
      <c r="H22" s="1"/>
      <c r="I22" s="1"/>
      <c r="J22" s="1"/>
      <c r="K22" s="1" t="s">
        <v>237</v>
      </c>
      <c r="L22" s="1">
        <v>50</v>
      </c>
      <c r="M22" s="1" t="s">
        <v>234</v>
      </c>
      <c r="N22" s="1">
        <v>5</v>
      </c>
      <c r="O22" s="18">
        <f>3.4*1000000000</f>
        <v>3400000000</v>
      </c>
      <c r="P22" s="18">
        <f>O22*0.15</f>
        <v>510000000</v>
      </c>
      <c r="Q22" s="1"/>
      <c r="R22" s="18">
        <f>2.43*1000000000</f>
        <v>2430000000</v>
      </c>
      <c r="S22" s="19">
        <f>O22/R22</f>
        <v>1.3991769547325104</v>
      </c>
      <c r="T22" s="18">
        <f>(S22-1)*R22</f>
        <v>970000000.00000012</v>
      </c>
      <c r="U22" s="18">
        <f>10000*5*L22</f>
        <v>2500000</v>
      </c>
      <c r="V22" s="20">
        <f>U22/(P22)</f>
        <v>4.9019607843137254E-3</v>
      </c>
    </row>
    <row r="23" spans="3:22" x14ac:dyDescent="0.3">
      <c r="E23" s="1"/>
      <c r="F23" s="1"/>
      <c r="G23" s="4">
        <f t="shared" si="2"/>
        <v>0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3:22" x14ac:dyDescent="0.3">
      <c r="E24" s="1"/>
      <c r="F24" s="1"/>
      <c r="G24" s="4" t="str">
        <f t="shared" si="2"/>
        <v>BU_3757551</v>
      </c>
      <c r="H24" s="1"/>
      <c r="I24" s="1"/>
      <c r="J24" s="1"/>
      <c r="K24" s="1" t="s">
        <v>236</v>
      </c>
      <c r="L24" s="1">
        <v>6</v>
      </c>
      <c r="M24" s="1" t="s">
        <v>239</v>
      </c>
      <c r="N24" s="1">
        <v>2</v>
      </c>
      <c r="O24" s="21">
        <v>11217000</v>
      </c>
      <c r="P24" s="18">
        <v>1682575</v>
      </c>
      <c r="Q24" s="1"/>
      <c r="R24" s="1"/>
      <c r="S24" s="1"/>
      <c r="U24" s="1">
        <f>4000</f>
        <v>4000</v>
      </c>
      <c r="V24" s="20">
        <f>U24/P24</f>
        <v>2.3773085895130975E-3</v>
      </c>
    </row>
    <row r="25" spans="3:22" x14ac:dyDescent="0.3">
      <c r="E25" s="1"/>
      <c r="F25" s="1"/>
      <c r="G25" s="4">
        <f t="shared" si="2"/>
        <v>0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3:22" x14ac:dyDescent="0.3">
      <c r="E26" s="1"/>
      <c r="F26" s="1"/>
      <c r="G26" s="4" t="str">
        <f t="shared" si="2"/>
        <v>PR_4881467</v>
      </c>
      <c r="H26" s="1"/>
      <c r="I26" s="1" t="s">
        <v>240</v>
      </c>
      <c r="K26" s="1"/>
      <c r="L26" s="1"/>
      <c r="M26" s="1"/>
      <c r="N26" s="1"/>
      <c r="O26" s="1"/>
      <c r="P26" s="1"/>
      <c r="Q26" s="1"/>
      <c r="R26" s="1"/>
      <c r="S26" s="1"/>
    </row>
    <row r="27" spans="3:22" x14ac:dyDescent="0.3">
      <c r="E27" s="1"/>
      <c r="F27" s="1"/>
      <c r="G27" s="4">
        <f t="shared" si="2"/>
        <v>0</v>
      </c>
      <c r="H27" s="1"/>
      <c r="I27" s="1"/>
      <c r="K27" s="1"/>
      <c r="L27" s="1"/>
      <c r="M27" s="1"/>
      <c r="N27" s="1"/>
      <c r="O27" s="1"/>
      <c r="P27" s="1"/>
      <c r="Q27" s="1"/>
      <c r="R27" s="1"/>
      <c r="S27" s="1"/>
    </row>
    <row r="28" spans="3:22" x14ac:dyDescent="0.3">
      <c r="E28" s="1"/>
      <c r="F28" s="1"/>
      <c r="G28" s="4"/>
      <c r="H28" s="1"/>
      <c r="I28" s="1"/>
      <c r="K28" s="1"/>
      <c r="L28" s="1"/>
      <c r="M28" s="1"/>
      <c r="N28" s="1"/>
      <c r="O28" s="1"/>
      <c r="P28" s="1"/>
      <c r="Q28" s="1"/>
      <c r="R28" s="1"/>
      <c r="S28" s="1"/>
    </row>
    <row r="29" spans="3:22" x14ac:dyDescent="0.3">
      <c r="C29"/>
      <c r="D29"/>
      <c r="E29"/>
      <c r="F29"/>
      <c r="G29"/>
      <c r="H29"/>
      <c r="I29"/>
      <c r="J29"/>
      <c r="K29"/>
      <c r="L29"/>
      <c r="M29"/>
      <c r="N29"/>
      <c r="O29"/>
      <c r="P29" s="1"/>
      <c r="Q29" s="1"/>
      <c r="R29" s="1"/>
      <c r="S29" s="1"/>
    </row>
    <row r="30" spans="3:22" x14ac:dyDescent="0.3">
      <c r="C30"/>
      <c r="D30"/>
      <c r="E30"/>
      <c r="F30"/>
      <c r="G30"/>
      <c r="H30"/>
      <c r="I30"/>
      <c r="J30"/>
      <c r="K30"/>
      <c r="L30"/>
      <c r="M30"/>
      <c r="N30"/>
      <c r="O30"/>
      <c r="P30" s="1"/>
      <c r="Q30" s="1"/>
      <c r="R30" s="1"/>
      <c r="S30" s="1"/>
    </row>
    <row r="31" spans="3:22" x14ac:dyDescent="0.3">
      <c r="C31"/>
      <c r="D31"/>
      <c r="E31"/>
      <c r="F31"/>
      <c r="G31"/>
      <c r="H31"/>
      <c r="I31"/>
      <c r="J31"/>
      <c r="K31"/>
      <c r="L31"/>
      <c r="M31"/>
      <c r="N31"/>
      <c r="O31"/>
      <c r="P31" s="1"/>
      <c r="Q31" s="1"/>
      <c r="R31" s="1"/>
      <c r="S31" s="1"/>
    </row>
    <row r="32" spans="3:22" x14ac:dyDescent="0.3">
      <c r="E32" s="1"/>
      <c r="F32" s="1"/>
      <c r="G32" s="1"/>
      <c r="H32" s="1"/>
      <c r="I32" s="1"/>
      <c r="K32" s="1"/>
      <c r="L32" s="1"/>
      <c r="M32" s="1"/>
      <c r="N32" s="1"/>
      <c r="O32" s="1"/>
      <c r="P32" s="1"/>
      <c r="Q32" s="1"/>
      <c r="R32" s="1"/>
      <c r="S32" s="1"/>
    </row>
    <row r="33" spans="5:19" x14ac:dyDescent="0.3">
      <c r="E33" s="1"/>
      <c r="F33" s="1"/>
      <c r="G33" s="1"/>
      <c r="H33" s="1"/>
      <c r="I33" s="1"/>
      <c r="K33" s="1"/>
      <c r="L33" s="1"/>
      <c r="M33" s="1"/>
      <c r="N33" s="1"/>
      <c r="O33" s="1"/>
      <c r="P33" s="1"/>
      <c r="Q33" s="1"/>
      <c r="R33" s="1"/>
      <c r="S33" s="1"/>
    </row>
    <row r="34" spans="5:19" x14ac:dyDescent="0.3">
      <c r="E34" s="1"/>
      <c r="F34" s="1"/>
      <c r="G34" s="1"/>
      <c r="H34" s="1"/>
      <c r="I34" s="1"/>
      <c r="K34" s="1"/>
      <c r="L34" s="1"/>
      <c r="M34" s="1"/>
      <c r="N34" s="1"/>
      <c r="O34" s="1"/>
      <c r="P34" s="1"/>
      <c r="Q34" s="1"/>
      <c r="R34" s="1"/>
      <c r="S34" s="1"/>
    </row>
    <row r="35" spans="5:19" x14ac:dyDescent="0.3">
      <c r="E35" s="1"/>
      <c r="F35" s="1"/>
      <c r="G35" s="9"/>
      <c r="H35" s="1"/>
      <c r="I35" s="1"/>
      <c r="K35" s="1"/>
      <c r="L35" s="1"/>
      <c r="M35" s="1"/>
      <c r="N35" s="1"/>
      <c r="O35" s="1"/>
      <c r="P35" s="1"/>
      <c r="Q35" s="1"/>
      <c r="R35" s="1"/>
      <c r="S35" s="1"/>
    </row>
    <row r="36" spans="5:19" x14ac:dyDescent="0.3">
      <c r="F36" s="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5:19" x14ac:dyDescent="0.3">
      <c r="F37" s="8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5:19" x14ac:dyDescent="0.3"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5:19" x14ac:dyDescent="0.3"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5:19" x14ac:dyDescent="0.3"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5:19" x14ac:dyDescent="0.3"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5:19" x14ac:dyDescent="0.3">
      <c r="E42" s="1"/>
      <c r="F42" s="1"/>
      <c r="G42" s="9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5:19" x14ac:dyDescent="0.3">
      <c r="E43" s="1"/>
      <c r="F43" s="1"/>
      <c r="G43" s="9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5:19" x14ac:dyDescent="0.3">
      <c r="E44" s="1"/>
      <c r="F44" s="1"/>
      <c r="G44" s="9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5:19" x14ac:dyDescent="0.3"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5:19" x14ac:dyDescent="0.3"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5:19" x14ac:dyDescent="0.3"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5:19" x14ac:dyDescent="0.3"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5:19" x14ac:dyDescent="0.3"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5:19" x14ac:dyDescent="0.3"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5:19" x14ac:dyDescent="0.3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5:19" x14ac:dyDescent="0.3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5:19" x14ac:dyDescent="0.3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5:19" x14ac:dyDescent="0.3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5:19" x14ac:dyDescent="0.3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5:19" x14ac:dyDescent="0.3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5:19" x14ac:dyDescent="0.3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5:19" x14ac:dyDescent="0.3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5:19" x14ac:dyDescent="0.3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5:19" x14ac:dyDescent="0.3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5:19" x14ac:dyDescent="0.3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5:19" x14ac:dyDescent="0.3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5:19" x14ac:dyDescent="0.3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5:19" x14ac:dyDescent="0.3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5:19" x14ac:dyDescent="0.3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5:19" x14ac:dyDescent="0.3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5:19" x14ac:dyDescent="0.3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5:19" x14ac:dyDescent="0.3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  <row r="69" spans="5:19" x14ac:dyDescent="0.3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</row>
    <row r="70" spans="5:19" x14ac:dyDescent="0.3"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</row>
    <row r="71" spans="5:19" x14ac:dyDescent="0.3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</row>
    <row r="72" spans="5:19" x14ac:dyDescent="0.3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</row>
    <row r="73" spans="5:19" x14ac:dyDescent="0.3"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</row>
    <row r="74" spans="5:19" x14ac:dyDescent="0.3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</row>
    <row r="75" spans="5:19" x14ac:dyDescent="0.3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</row>
    <row r="76" spans="5:19" x14ac:dyDescent="0.3"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</row>
    <row r="77" spans="5:19" x14ac:dyDescent="0.3"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</row>
    <row r="78" spans="5:19" x14ac:dyDescent="0.3"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</row>
    <row r="79" spans="5:19" x14ac:dyDescent="0.3"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</row>
    <row r="80" spans="5:19" x14ac:dyDescent="0.3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5:19" x14ac:dyDescent="0.3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5:19" x14ac:dyDescent="0.3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</row>
    <row r="83" spans="5:19" x14ac:dyDescent="0.3"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5:19" x14ac:dyDescent="0.3"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5:19" x14ac:dyDescent="0.3"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5:19" x14ac:dyDescent="0.3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5:19" x14ac:dyDescent="0.3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5:19" x14ac:dyDescent="0.3"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5:19" x14ac:dyDescent="0.3"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5:19" x14ac:dyDescent="0.3"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5:19" x14ac:dyDescent="0.3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5:19" x14ac:dyDescent="0.3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5:19" x14ac:dyDescent="0.3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5:19" x14ac:dyDescent="0.3"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5:19" x14ac:dyDescent="0.3"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5:19" x14ac:dyDescent="0.3"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5:19" x14ac:dyDescent="0.3"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5:19" x14ac:dyDescent="0.3"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5:19" x14ac:dyDescent="0.3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5:19" x14ac:dyDescent="0.3"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1" spans="5:19" x14ac:dyDescent="0.3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</row>
    <row r="102" spans="5:19" x14ac:dyDescent="0.3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</row>
    <row r="103" spans="5:19" x14ac:dyDescent="0.3"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</row>
    <row r="104" spans="5:19" x14ac:dyDescent="0.3"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</row>
    <row r="105" spans="5:19" x14ac:dyDescent="0.3"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</row>
    <row r="106" spans="5:19" x14ac:dyDescent="0.3"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</row>
    <row r="107" spans="5:19" x14ac:dyDescent="0.3"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</row>
    <row r="108" spans="5:19" x14ac:dyDescent="0.3"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</row>
    <row r="109" spans="5:19" x14ac:dyDescent="0.3"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</row>
    <row r="110" spans="5:19" x14ac:dyDescent="0.3"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</row>
    <row r="111" spans="5:19" x14ac:dyDescent="0.3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spans="5:19" x14ac:dyDescent="0.3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</row>
    <row r="113" spans="5:19" x14ac:dyDescent="0.3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</row>
    <row r="114" spans="5:19" x14ac:dyDescent="0.3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</row>
    <row r="115" spans="5:19" x14ac:dyDescent="0.3"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</row>
    <row r="116" spans="5:19" x14ac:dyDescent="0.3"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</row>
    <row r="117" spans="5:19" x14ac:dyDescent="0.3"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</row>
    <row r="118" spans="5:19" x14ac:dyDescent="0.3"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</row>
    <row r="119" spans="5:19" x14ac:dyDescent="0.3"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</row>
    <row r="120" spans="5:19" x14ac:dyDescent="0.3"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</row>
    <row r="121" spans="5:19" x14ac:dyDescent="0.3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</row>
    <row r="122" spans="5:19" x14ac:dyDescent="0.3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</row>
    <row r="123" spans="5:19" x14ac:dyDescent="0.3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</row>
    <row r="124" spans="5:19" x14ac:dyDescent="0.3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</row>
    <row r="125" spans="5:19" x14ac:dyDescent="0.3"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</row>
    <row r="126" spans="5:19" x14ac:dyDescent="0.3"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</row>
    <row r="127" spans="5:19" x14ac:dyDescent="0.3"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</row>
    <row r="128" spans="5:19" x14ac:dyDescent="0.3"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</row>
    <row r="129" spans="5:19" x14ac:dyDescent="0.3"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</row>
    <row r="130" spans="5:19" x14ac:dyDescent="0.3"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</row>
    <row r="131" spans="5:19" x14ac:dyDescent="0.3"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</row>
    <row r="132" spans="5:19" x14ac:dyDescent="0.3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</row>
    <row r="133" spans="5:19" x14ac:dyDescent="0.3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</row>
    <row r="134" spans="5:19" x14ac:dyDescent="0.3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</row>
    <row r="135" spans="5:19" x14ac:dyDescent="0.3"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</row>
    <row r="136" spans="5:19" x14ac:dyDescent="0.3"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</row>
    <row r="137" spans="5:19" x14ac:dyDescent="0.3"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</row>
    <row r="138" spans="5:19" x14ac:dyDescent="0.3"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</row>
    <row r="139" spans="5:19" x14ac:dyDescent="0.3"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</row>
    <row r="140" spans="5:19" x14ac:dyDescent="0.3"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</row>
    <row r="141" spans="5:19" x14ac:dyDescent="0.3"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</row>
    <row r="142" spans="5:19" x14ac:dyDescent="0.3"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</row>
    <row r="143" spans="5:19" x14ac:dyDescent="0.3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</row>
    <row r="144" spans="5:19" x14ac:dyDescent="0.3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</row>
    <row r="145" spans="5:19" x14ac:dyDescent="0.3"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</row>
    <row r="146" spans="5:19" x14ac:dyDescent="0.3"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</row>
    <row r="147" spans="5:19" x14ac:dyDescent="0.3"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</row>
    <row r="148" spans="5:19" x14ac:dyDescent="0.3"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</row>
    <row r="149" spans="5:19" x14ac:dyDescent="0.3"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</row>
    <row r="150" spans="5:19" x14ac:dyDescent="0.3"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</row>
    <row r="151" spans="5:19" x14ac:dyDescent="0.3"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</row>
    <row r="152" spans="5:19" x14ac:dyDescent="0.3"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</row>
    <row r="153" spans="5:19" x14ac:dyDescent="0.3"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</row>
    <row r="154" spans="5:19" x14ac:dyDescent="0.3"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</row>
    <row r="155" spans="5:19" x14ac:dyDescent="0.3"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</row>
    <row r="156" spans="5:19" x14ac:dyDescent="0.3"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</row>
    <row r="157" spans="5:19" x14ac:dyDescent="0.3"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</row>
    <row r="158" spans="5:19" x14ac:dyDescent="0.3"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</row>
    <row r="159" spans="5:19" x14ac:dyDescent="0.3"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</row>
    <row r="160" spans="5:19" x14ac:dyDescent="0.3"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</row>
    <row r="161" spans="5:19" x14ac:dyDescent="0.3"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</row>
    <row r="162" spans="5:19" x14ac:dyDescent="0.3"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</row>
    <row r="163" spans="5:19" x14ac:dyDescent="0.3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</row>
    <row r="164" spans="5:19" x14ac:dyDescent="0.3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</row>
    <row r="165" spans="5:19" x14ac:dyDescent="0.3"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</row>
    <row r="166" spans="5:19" x14ac:dyDescent="0.3"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</row>
    <row r="167" spans="5:19" x14ac:dyDescent="0.3"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</row>
    <row r="168" spans="5:19" x14ac:dyDescent="0.3"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</row>
    <row r="169" spans="5:19" x14ac:dyDescent="0.3"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</row>
    <row r="170" spans="5:19" x14ac:dyDescent="0.3"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</row>
    <row r="171" spans="5:19" x14ac:dyDescent="0.3"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</row>
    <row r="172" spans="5:19" x14ac:dyDescent="0.3"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</row>
    <row r="173" spans="5:19" x14ac:dyDescent="0.3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</row>
    <row r="174" spans="5:19" x14ac:dyDescent="0.3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</row>
    <row r="175" spans="5:19" x14ac:dyDescent="0.3"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</row>
    <row r="176" spans="5:19" x14ac:dyDescent="0.3"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</row>
    <row r="177" spans="5:19" x14ac:dyDescent="0.3"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</row>
    <row r="178" spans="5:19" x14ac:dyDescent="0.3"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</row>
    <row r="179" spans="5:19" x14ac:dyDescent="0.3"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</row>
    <row r="180" spans="5:19" x14ac:dyDescent="0.3"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</row>
    <row r="181" spans="5:19" x14ac:dyDescent="0.3"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</row>
    <row r="182" spans="5:19" x14ac:dyDescent="0.3"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</row>
    <row r="183" spans="5:19" x14ac:dyDescent="0.3"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</row>
    <row r="184" spans="5:19" x14ac:dyDescent="0.3"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</row>
    <row r="185" spans="5:19" x14ac:dyDescent="0.3"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</row>
    <row r="186" spans="5:19" x14ac:dyDescent="0.3"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</row>
    <row r="187" spans="5:19" x14ac:dyDescent="0.3"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</row>
    <row r="188" spans="5:19" x14ac:dyDescent="0.3"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</row>
    <row r="189" spans="5:19" x14ac:dyDescent="0.3"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  <row r="190" spans="5:19" x14ac:dyDescent="0.3"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</row>
    <row r="191" spans="5:19" x14ac:dyDescent="0.3"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</row>
    <row r="192" spans="5:19" x14ac:dyDescent="0.3"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</row>
    <row r="193" spans="5:19" x14ac:dyDescent="0.3"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</row>
    <row r="194" spans="5:19" x14ac:dyDescent="0.3"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</row>
    <row r="195" spans="5:19" x14ac:dyDescent="0.3"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</row>
    <row r="196" spans="5:19" x14ac:dyDescent="0.3"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</row>
    <row r="197" spans="5:19" x14ac:dyDescent="0.3"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</row>
    <row r="198" spans="5:19" x14ac:dyDescent="0.3"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</row>
    <row r="199" spans="5:19" x14ac:dyDescent="0.3"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</row>
    <row r="200" spans="5:19" x14ac:dyDescent="0.3"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</row>
    <row r="201" spans="5:19" x14ac:dyDescent="0.3"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</row>
    <row r="202" spans="5:19" x14ac:dyDescent="0.3"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</row>
    <row r="203" spans="5:19" x14ac:dyDescent="0.3"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</row>
    <row r="204" spans="5:19" x14ac:dyDescent="0.3"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</row>
    <row r="205" spans="5:19" x14ac:dyDescent="0.3"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</row>
    <row r="206" spans="5:19" x14ac:dyDescent="0.3"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</row>
    <row r="207" spans="5:19" x14ac:dyDescent="0.3"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</row>
    <row r="208" spans="5:19" x14ac:dyDescent="0.3"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</row>
    <row r="209" spans="5:19" x14ac:dyDescent="0.3"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</row>
    <row r="210" spans="5:19" x14ac:dyDescent="0.3"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</row>
    <row r="211" spans="5:19" x14ac:dyDescent="0.3"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</row>
    <row r="212" spans="5:19" x14ac:dyDescent="0.3"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</row>
  </sheetData>
  <conditionalFormatting sqref="D8">
    <cfRule type="duplicateValues" dxfId="64" priority="56"/>
  </conditionalFormatting>
  <conditionalFormatting sqref="D9">
    <cfRule type="duplicateValues" dxfId="63" priority="55"/>
  </conditionalFormatting>
  <conditionalFormatting sqref="D5">
    <cfRule type="duplicateValues" dxfId="35" priority="31"/>
  </conditionalFormatting>
  <conditionalFormatting sqref="D5">
    <cfRule type="duplicateValues" dxfId="34" priority="32"/>
  </conditionalFormatting>
  <conditionalFormatting sqref="D15">
    <cfRule type="duplicateValues" dxfId="27" priority="23"/>
  </conditionalFormatting>
  <conditionalFormatting sqref="D15">
    <cfRule type="duplicateValues" dxfId="26" priority="24"/>
  </conditionalFormatting>
  <conditionalFormatting sqref="D7">
    <cfRule type="duplicateValues" dxfId="15" priority="15"/>
  </conditionalFormatting>
  <conditionalFormatting sqref="D7">
    <cfRule type="duplicateValues" dxfId="14" priority="16"/>
  </conditionalFormatting>
  <conditionalFormatting sqref="D10">
    <cfRule type="duplicateValues" dxfId="13" priority="13"/>
  </conditionalFormatting>
  <conditionalFormatting sqref="D10">
    <cfRule type="duplicateValues" dxfId="12" priority="14"/>
  </conditionalFormatting>
  <conditionalFormatting sqref="D13">
    <cfRule type="duplicateValues" dxfId="11" priority="11"/>
  </conditionalFormatting>
  <conditionalFormatting sqref="D13">
    <cfRule type="duplicateValues" dxfId="10" priority="12"/>
  </conditionalFormatting>
  <conditionalFormatting sqref="D14">
    <cfRule type="duplicateValues" dxfId="9" priority="9"/>
  </conditionalFormatting>
  <conditionalFormatting sqref="D14">
    <cfRule type="duplicateValues" dxfId="8" priority="10"/>
  </conditionalFormatting>
  <conditionalFormatting sqref="D17">
    <cfRule type="duplicateValues" dxfId="7" priority="7"/>
  </conditionalFormatting>
  <conditionalFormatting sqref="D17">
    <cfRule type="duplicateValues" dxfId="6" priority="8"/>
  </conditionalFormatting>
  <conditionalFormatting sqref="D19">
    <cfRule type="duplicateValues" dxfId="5" priority="5"/>
  </conditionalFormatting>
  <conditionalFormatting sqref="D19">
    <cfRule type="duplicateValues" dxfId="4" priority="6"/>
  </conditionalFormatting>
  <conditionalFormatting sqref="D22">
    <cfRule type="duplicateValues" dxfId="3" priority="3"/>
  </conditionalFormatting>
  <conditionalFormatting sqref="D22">
    <cfRule type="duplicateValues" dxfId="2" priority="4"/>
  </conditionalFormatting>
  <conditionalFormatting sqref="D3:D4">
    <cfRule type="duplicateValues" dxfId="1" priority="1"/>
  </conditionalFormatting>
  <conditionalFormatting sqref="D3:D4">
    <cfRule type="duplicateValues" dxfId="0" priority="2"/>
  </conditionalFormatting>
  <printOptions gridLines="1"/>
  <pageMargins left="0.25" right="0.25" top="0.75" bottom="0.75" header="0.3" footer="0.3"/>
  <pageSetup paperSize="9" fitToHeight="0" orientation="landscape" r:id="rId1"/>
  <headerFooter>
    <oddHeader>&amp;CL-4402 BLS                B11.B2                    Zmiana schematu: 003</oddHeader>
    <oddFooter>&amp;Lrytpio&amp;CStrona &amp;P z &amp;N&amp;RWygenerowane: 16.06.2021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opiujInfor">
                <anchor moveWithCells="1" sizeWithCells="1">
                  <from>
                    <xdr:col>6</xdr:col>
                    <xdr:colOff>480060</xdr:colOff>
                    <xdr:row>6</xdr:row>
                    <xdr:rowOff>22860</xdr:rowOff>
                  </from>
                  <to>
                    <xdr:col>6</xdr:col>
                    <xdr:colOff>1051560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sunPBDSTK">
                <anchor moveWithCells="1" sizeWithCells="1">
                  <from>
                    <xdr:col>6</xdr:col>
                    <xdr:colOff>182880</xdr:colOff>
                    <xdr:row>0</xdr:row>
                    <xdr:rowOff>60960</xdr:rowOff>
                  </from>
                  <to>
                    <xdr:col>6</xdr:col>
                    <xdr:colOff>1371600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UsunPBDRys">
                <anchor moveWithCells="1" sizeWithCells="1">
                  <from>
                    <xdr:col>6</xdr:col>
                    <xdr:colOff>198120</xdr:colOff>
                    <xdr:row>2</xdr:row>
                    <xdr:rowOff>68580</xdr:rowOff>
                  </from>
                  <to>
                    <xdr:col>6</xdr:col>
                    <xdr:colOff>1371600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KopiujInfor">
                <anchor moveWithCells="1" sizeWithCells="1">
                  <from>
                    <xdr:col>6</xdr:col>
                    <xdr:colOff>480060</xdr:colOff>
                    <xdr:row>6</xdr:row>
                    <xdr:rowOff>22860</xdr:rowOff>
                  </from>
                  <to>
                    <xdr:col>6</xdr:col>
                    <xdr:colOff>1051560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UsunPBDSTK">
                <anchor moveWithCells="1" sizeWithCells="1">
                  <from>
                    <xdr:col>6</xdr:col>
                    <xdr:colOff>182880</xdr:colOff>
                    <xdr:row>0</xdr:row>
                    <xdr:rowOff>60960</xdr:rowOff>
                  </from>
                  <to>
                    <xdr:col>6</xdr:col>
                    <xdr:colOff>1371600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UsunPBDRys">
                <anchor moveWithCells="1" sizeWithCells="1">
                  <from>
                    <xdr:col>6</xdr:col>
                    <xdr:colOff>198120</xdr:colOff>
                    <xdr:row>2</xdr:row>
                    <xdr:rowOff>68580</xdr:rowOff>
                  </from>
                  <to>
                    <xdr:col>6</xdr:col>
                    <xdr:colOff>1371600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1]!KopiujInfor">
                <anchor moveWithCells="1" sizeWithCells="1">
                  <from>
                    <xdr:col>6</xdr:col>
                    <xdr:colOff>480060</xdr:colOff>
                    <xdr:row>6</xdr:row>
                    <xdr:rowOff>22860</xdr:rowOff>
                  </from>
                  <to>
                    <xdr:col>6</xdr:col>
                    <xdr:colOff>1051560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1]!UsunPBDSTK">
                <anchor moveWithCells="1" sizeWithCells="1">
                  <from>
                    <xdr:col>6</xdr:col>
                    <xdr:colOff>182880</xdr:colOff>
                    <xdr:row>0</xdr:row>
                    <xdr:rowOff>60960</xdr:rowOff>
                  </from>
                  <to>
                    <xdr:col>6</xdr:col>
                    <xdr:colOff>1371600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1]!UsunPBDRys">
                <anchor moveWithCells="1" sizeWithCells="1">
                  <from>
                    <xdr:col>6</xdr:col>
                    <xdr:colOff>198120</xdr:colOff>
                    <xdr:row>2</xdr:row>
                    <xdr:rowOff>68580</xdr:rowOff>
                  </from>
                  <to>
                    <xdr:col>6</xdr:col>
                    <xdr:colOff>1371600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5FEDB-3CFA-42F3-B657-D3B6A937753E}">
  <dimension ref="A1:W81"/>
  <sheetViews>
    <sheetView zoomScale="85" zoomScaleNormal="85" workbookViewId="0">
      <selection activeCell="S14" sqref="S14"/>
    </sheetView>
  </sheetViews>
  <sheetFormatPr defaultRowHeight="14.4" x14ac:dyDescent="0.3"/>
  <cols>
    <col min="13" max="13" width="30.88671875" customWidth="1"/>
  </cols>
  <sheetData>
    <row r="1" spans="1:23" ht="30.6" x14ac:dyDescent="0.3">
      <c r="A1" s="17" t="s">
        <v>63</v>
      </c>
      <c r="B1" s="14"/>
      <c r="C1" s="14"/>
      <c r="D1" s="17"/>
      <c r="E1" s="17"/>
      <c r="F1" s="17"/>
      <c r="G1" s="17"/>
      <c r="H1" s="17"/>
      <c r="I1" s="17"/>
      <c r="J1" s="17"/>
      <c r="K1" s="17"/>
      <c r="L1" s="17"/>
      <c r="M1" s="10" t="s">
        <v>58</v>
      </c>
      <c r="N1" s="11" t="s">
        <v>59</v>
      </c>
      <c r="O1" s="10" t="s">
        <v>60</v>
      </c>
      <c r="P1" s="12"/>
      <c r="Q1" s="13"/>
      <c r="R1" s="14" t="s">
        <v>61</v>
      </c>
      <c r="S1" s="6" t="s">
        <v>57</v>
      </c>
      <c r="T1" s="15"/>
      <c r="U1" s="16" t="s">
        <v>62</v>
      </c>
      <c r="V1" s="7">
        <v>12491076</v>
      </c>
      <c r="W1" s="10" t="s">
        <v>58</v>
      </c>
    </row>
    <row r="2" spans="1:23" x14ac:dyDescent="0.3">
      <c r="A2" s="17"/>
      <c r="B2" s="14" t="s">
        <v>63</v>
      </c>
      <c r="C2" s="14"/>
      <c r="D2" s="17"/>
      <c r="E2" s="17"/>
      <c r="F2" s="17"/>
      <c r="G2" s="17"/>
      <c r="H2" s="17"/>
      <c r="I2" s="17"/>
      <c r="J2" s="17"/>
      <c r="K2" s="17"/>
      <c r="L2" s="17"/>
      <c r="M2" s="10" t="s">
        <v>64</v>
      </c>
      <c r="N2" s="11" t="s">
        <v>65</v>
      </c>
      <c r="O2" s="10"/>
      <c r="P2" s="12"/>
      <c r="Q2" s="13"/>
      <c r="R2" s="14"/>
      <c r="S2" s="6" t="s">
        <v>66</v>
      </c>
      <c r="T2" s="15"/>
      <c r="U2" s="16" t="s">
        <v>62</v>
      </c>
      <c r="V2" s="7">
        <v>12320256</v>
      </c>
      <c r="W2" s="10" t="s">
        <v>58</v>
      </c>
    </row>
    <row r="3" spans="1:23" ht="30.6" x14ac:dyDescent="0.3">
      <c r="A3" s="17"/>
      <c r="B3" s="14" t="s">
        <v>63</v>
      </c>
      <c r="C3" s="14"/>
      <c r="D3" s="17"/>
      <c r="E3" s="17"/>
      <c r="F3" s="17"/>
      <c r="G3" s="17"/>
      <c r="H3" s="17"/>
      <c r="I3" s="17"/>
      <c r="J3" s="17"/>
      <c r="K3" s="17"/>
      <c r="L3" s="17"/>
      <c r="M3" s="10" t="s">
        <v>67</v>
      </c>
      <c r="N3" s="11" t="s">
        <v>68</v>
      </c>
      <c r="O3" s="10"/>
      <c r="P3" s="12"/>
      <c r="Q3" s="13"/>
      <c r="R3" s="14"/>
      <c r="S3" s="6" t="s">
        <v>66</v>
      </c>
      <c r="T3" s="15"/>
      <c r="U3" s="16" t="s">
        <v>62</v>
      </c>
      <c r="V3" s="7">
        <v>12320257</v>
      </c>
      <c r="W3" s="10" t="s">
        <v>58</v>
      </c>
    </row>
    <row r="4" spans="1:23" x14ac:dyDescent="0.3">
      <c r="A4" s="17"/>
      <c r="B4" s="14" t="s">
        <v>63</v>
      </c>
      <c r="C4" s="14"/>
      <c r="D4" s="17"/>
      <c r="E4" s="17"/>
      <c r="F4" s="17"/>
      <c r="G4" s="17"/>
      <c r="H4" s="17"/>
      <c r="I4" s="17"/>
      <c r="J4" s="17"/>
      <c r="K4" s="17"/>
      <c r="L4" s="17"/>
      <c r="M4" s="10" t="s">
        <v>64</v>
      </c>
      <c r="N4" s="11" t="s">
        <v>65</v>
      </c>
      <c r="O4" s="10"/>
      <c r="P4" s="12"/>
      <c r="Q4" s="13"/>
      <c r="R4" s="14"/>
      <c r="S4" s="6" t="s">
        <v>69</v>
      </c>
      <c r="T4" s="15"/>
      <c r="U4" s="16" t="s">
        <v>62</v>
      </c>
      <c r="V4" s="7">
        <v>12320415</v>
      </c>
      <c r="W4" s="10" t="s">
        <v>58</v>
      </c>
    </row>
    <row r="5" spans="1:23" x14ac:dyDescent="0.3">
      <c r="A5" s="17"/>
      <c r="B5" s="14" t="s">
        <v>63</v>
      </c>
      <c r="C5" s="14"/>
      <c r="D5" s="17"/>
      <c r="E5" s="17"/>
      <c r="F5" s="17"/>
      <c r="G5" s="17"/>
      <c r="H5" s="17"/>
      <c r="I5" s="17"/>
      <c r="J5" s="17"/>
      <c r="K5" s="17"/>
      <c r="L5" s="17"/>
      <c r="M5" s="10" t="s">
        <v>70</v>
      </c>
      <c r="N5" s="11" t="s">
        <v>70</v>
      </c>
      <c r="O5" s="10"/>
      <c r="P5" s="12"/>
      <c r="Q5" s="13"/>
      <c r="R5" s="14"/>
      <c r="S5" s="6" t="s">
        <v>71</v>
      </c>
      <c r="T5" s="15"/>
      <c r="U5" s="16" t="s">
        <v>62</v>
      </c>
      <c r="V5" s="7">
        <v>12320690</v>
      </c>
      <c r="W5" s="10" t="s">
        <v>58</v>
      </c>
    </row>
    <row r="6" spans="1:23" x14ac:dyDescent="0.3">
      <c r="A6" s="17"/>
      <c r="B6" s="14" t="s">
        <v>63</v>
      </c>
      <c r="C6" s="14"/>
      <c r="D6" s="17"/>
      <c r="E6" s="17"/>
      <c r="F6" s="17"/>
      <c r="G6" s="17"/>
      <c r="H6" s="17"/>
      <c r="I6" s="17"/>
      <c r="J6" s="17"/>
      <c r="K6" s="17"/>
      <c r="L6" s="17"/>
      <c r="M6" s="10" t="s">
        <v>70</v>
      </c>
      <c r="N6" s="11" t="s">
        <v>70</v>
      </c>
      <c r="O6" s="10"/>
      <c r="P6" s="12"/>
      <c r="Q6" s="13"/>
      <c r="R6" s="14"/>
      <c r="S6" s="6" t="s">
        <v>72</v>
      </c>
      <c r="T6" s="15"/>
      <c r="U6" s="16" t="s">
        <v>62</v>
      </c>
      <c r="V6" s="7">
        <v>12320709</v>
      </c>
      <c r="W6" s="10" t="s">
        <v>58</v>
      </c>
    </row>
    <row r="7" spans="1:23" x14ac:dyDescent="0.3">
      <c r="A7" s="17"/>
      <c r="B7" s="14" t="s">
        <v>63</v>
      </c>
      <c r="C7" s="14"/>
      <c r="D7" s="17"/>
      <c r="E7" s="17"/>
      <c r="F7" s="17"/>
      <c r="G7" s="17"/>
      <c r="H7" s="17"/>
      <c r="I7" s="17"/>
      <c r="J7" s="17"/>
      <c r="K7" s="17"/>
      <c r="L7" s="17"/>
      <c r="M7" s="10" t="s">
        <v>73</v>
      </c>
      <c r="N7" s="11" t="s">
        <v>74</v>
      </c>
      <c r="O7" s="10"/>
      <c r="P7" s="12"/>
      <c r="Q7" s="13"/>
      <c r="R7" s="14"/>
      <c r="S7" s="6" t="s">
        <v>75</v>
      </c>
      <c r="T7" s="15"/>
      <c r="U7" s="16" t="s">
        <v>62</v>
      </c>
      <c r="V7" s="7">
        <v>12320863</v>
      </c>
      <c r="W7" s="10" t="s">
        <v>58</v>
      </c>
    </row>
    <row r="8" spans="1:23" x14ac:dyDescent="0.3">
      <c r="A8" s="17"/>
      <c r="B8" s="14" t="s">
        <v>63</v>
      </c>
      <c r="C8" s="14"/>
      <c r="D8" s="17"/>
      <c r="E8" s="17"/>
      <c r="F8" s="17"/>
      <c r="G8" s="17"/>
      <c r="H8" s="17"/>
      <c r="I8" s="17"/>
      <c r="J8" s="17"/>
      <c r="K8" s="17"/>
      <c r="L8" s="17"/>
      <c r="M8" s="10" t="s">
        <v>73</v>
      </c>
      <c r="N8" s="11" t="s">
        <v>74</v>
      </c>
      <c r="O8" s="10"/>
      <c r="P8" s="12"/>
      <c r="Q8" s="13"/>
      <c r="R8" s="14"/>
      <c r="S8" s="6" t="s">
        <v>76</v>
      </c>
      <c r="T8" s="15"/>
      <c r="U8" s="16" t="s">
        <v>62</v>
      </c>
      <c r="V8" s="7">
        <v>12320968</v>
      </c>
      <c r="W8" s="10" t="s">
        <v>58</v>
      </c>
    </row>
    <row r="9" spans="1:23" ht="30.6" x14ac:dyDescent="0.3">
      <c r="A9" s="17"/>
      <c r="B9" s="14" t="s">
        <v>63</v>
      </c>
      <c r="C9" s="14"/>
      <c r="D9" s="17"/>
      <c r="E9" s="17"/>
      <c r="F9" s="17"/>
      <c r="G9" s="17"/>
      <c r="H9" s="17"/>
      <c r="I9" s="17"/>
      <c r="J9" s="17"/>
      <c r="K9" s="17"/>
      <c r="L9" s="17"/>
      <c r="M9" s="10" t="s">
        <v>77</v>
      </c>
      <c r="N9" s="11" t="s">
        <v>78</v>
      </c>
      <c r="O9" s="10"/>
      <c r="P9" s="12"/>
      <c r="Q9" s="13"/>
      <c r="R9" s="14"/>
      <c r="S9" s="6" t="s">
        <v>79</v>
      </c>
      <c r="T9" s="15"/>
      <c r="U9" s="16" t="s">
        <v>62</v>
      </c>
      <c r="V9" s="7">
        <v>12320978</v>
      </c>
      <c r="W9" s="10" t="s">
        <v>58</v>
      </c>
    </row>
    <row r="10" spans="1:23" ht="30.6" x14ac:dyDescent="0.3">
      <c r="A10" s="17"/>
      <c r="B10" s="14" t="s">
        <v>63</v>
      </c>
      <c r="C10" s="14"/>
      <c r="D10" s="17"/>
      <c r="E10" s="17"/>
      <c r="F10" s="17"/>
      <c r="G10" s="17"/>
      <c r="H10" s="17"/>
      <c r="I10" s="17"/>
      <c r="J10" s="17"/>
      <c r="K10" s="17"/>
      <c r="L10" s="17"/>
      <c r="M10" s="10" t="s">
        <v>77</v>
      </c>
      <c r="N10" s="11" t="s">
        <v>78</v>
      </c>
      <c r="O10" s="10"/>
      <c r="P10" s="12"/>
      <c r="Q10" s="13"/>
      <c r="R10" s="14"/>
      <c r="S10" s="6" t="s">
        <v>80</v>
      </c>
      <c r="T10" s="15"/>
      <c r="U10" s="16" t="s">
        <v>62</v>
      </c>
      <c r="V10" s="7">
        <v>12320982</v>
      </c>
      <c r="W10" s="10" t="s">
        <v>58</v>
      </c>
    </row>
    <row r="11" spans="1:23" ht="30.6" x14ac:dyDescent="0.3">
      <c r="A11" s="17"/>
      <c r="B11" s="14" t="s">
        <v>63</v>
      </c>
      <c r="C11" s="14"/>
      <c r="D11" s="17"/>
      <c r="E11" s="17"/>
      <c r="F11" s="17"/>
      <c r="G11" s="17"/>
      <c r="H11" s="17"/>
      <c r="I11" s="17"/>
      <c r="J11" s="17"/>
      <c r="K11" s="17"/>
      <c r="L11" s="17"/>
      <c r="M11" s="10" t="s">
        <v>77</v>
      </c>
      <c r="N11" s="11" t="s">
        <v>78</v>
      </c>
      <c r="O11" s="10"/>
      <c r="P11" s="12"/>
      <c r="Q11" s="13"/>
      <c r="R11" s="14"/>
      <c r="S11" s="6" t="s">
        <v>81</v>
      </c>
      <c r="T11" s="15"/>
      <c r="U11" s="16" t="s">
        <v>62</v>
      </c>
      <c r="V11" s="7">
        <v>12320987</v>
      </c>
      <c r="W11" s="10" t="s">
        <v>58</v>
      </c>
    </row>
    <row r="12" spans="1:23" ht="20.399999999999999" x14ac:dyDescent="0.3">
      <c r="A12" s="17"/>
      <c r="B12" s="14" t="s">
        <v>63</v>
      </c>
      <c r="C12" s="14"/>
      <c r="D12" s="17"/>
      <c r="E12" s="17"/>
      <c r="F12" s="17"/>
      <c r="G12" s="17"/>
      <c r="H12" s="17"/>
      <c r="I12" s="17"/>
      <c r="J12" s="17"/>
      <c r="K12" s="17"/>
      <c r="L12" s="17"/>
      <c r="M12" s="10" t="s">
        <v>82</v>
      </c>
      <c r="N12" s="11" t="s">
        <v>83</v>
      </c>
      <c r="O12" s="10"/>
      <c r="P12" s="12"/>
      <c r="Q12" s="13"/>
      <c r="R12" s="14"/>
      <c r="S12" s="6" t="s">
        <v>84</v>
      </c>
      <c r="T12" s="15"/>
      <c r="U12" s="16" t="s">
        <v>62</v>
      </c>
      <c r="V12" s="7">
        <v>12321023</v>
      </c>
      <c r="W12" s="10" t="s">
        <v>58</v>
      </c>
    </row>
    <row r="13" spans="1:23" ht="20.399999999999999" x14ac:dyDescent="0.3">
      <c r="A13" s="17"/>
      <c r="B13" s="14" t="s">
        <v>63</v>
      </c>
      <c r="C13" s="14"/>
      <c r="D13" s="17"/>
      <c r="E13" s="17"/>
      <c r="F13" s="17"/>
      <c r="G13" s="17"/>
      <c r="H13" s="17"/>
      <c r="I13" s="17"/>
      <c r="J13" s="17"/>
      <c r="K13" s="17"/>
      <c r="L13" s="17"/>
      <c r="M13" s="10" t="s">
        <v>85</v>
      </c>
      <c r="N13" s="11" t="s">
        <v>86</v>
      </c>
      <c r="O13" s="10"/>
      <c r="P13" s="12"/>
      <c r="Q13" s="13"/>
      <c r="R13" s="14"/>
      <c r="S13" s="6" t="s">
        <v>87</v>
      </c>
      <c r="T13" s="15"/>
      <c r="U13" s="16" t="s">
        <v>62</v>
      </c>
      <c r="V13" s="7">
        <v>12321071</v>
      </c>
      <c r="W13" s="10" t="s">
        <v>58</v>
      </c>
    </row>
    <row r="14" spans="1:23" ht="40.799999999999997" x14ac:dyDescent="0.3">
      <c r="A14" s="17"/>
      <c r="B14" s="14" t="s">
        <v>63</v>
      </c>
      <c r="C14" s="14"/>
      <c r="D14" s="17"/>
      <c r="E14" s="17"/>
      <c r="F14" s="17"/>
      <c r="G14" s="17"/>
      <c r="H14" s="17"/>
      <c r="I14" s="17"/>
      <c r="J14" s="17"/>
      <c r="K14" s="17"/>
      <c r="L14" s="17"/>
      <c r="M14" s="10" t="s">
        <v>88</v>
      </c>
      <c r="N14" s="11" t="s">
        <v>89</v>
      </c>
      <c r="O14" s="10"/>
      <c r="P14" s="12"/>
      <c r="Q14" s="13"/>
      <c r="R14" s="14"/>
      <c r="S14" s="6" t="s">
        <v>87</v>
      </c>
      <c r="T14" s="15"/>
      <c r="U14" s="16" t="s">
        <v>62</v>
      </c>
      <c r="V14" s="7">
        <v>12321073</v>
      </c>
      <c r="W14" s="10" t="s">
        <v>58</v>
      </c>
    </row>
    <row r="15" spans="1:23" ht="20.399999999999999" x14ac:dyDescent="0.3">
      <c r="A15" s="17"/>
      <c r="B15" s="14" t="s">
        <v>63</v>
      </c>
      <c r="C15" s="14"/>
      <c r="D15" s="17"/>
      <c r="E15" s="17"/>
      <c r="F15" s="17"/>
      <c r="G15" s="17"/>
      <c r="H15" s="17"/>
      <c r="I15" s="17"/>
      <c r="J15" s="17"/>
      <c r="K15" s="17"/>
      <c r="L15" s="17"/>
      <c r="M15" s="10" t="s">
        <v>85</v>
      </c>
      <c r="N15" s="11" t="s">
        <v>86</v>
      </c>
      <c r="O15" s="10"/>
      <c r="P15" s="12"/>
      <c r="Q15" s="13"/>
      <c r="R15" s="14"/>
      <c r="S15" s="6" t="s">
        <v>90</v>
      </c>
      <c r="T15" s="15"/>
      <c r="U15" s="16" t="s">
        <v>62</v>
      </c>
      <c r="V15" s="7">
        <v>12321091</v>
      </c>
      <c r="W15" s="10" t="s">
        <v>58</v>
      </c>
    </row>
    <row r="16" spans="1:23" ht="40.799999999999997" x14ac:dyDescent="0.3">
      <c r="A16" s="17"/>
      <c r="B16" s="14" t="s">
        <v>63</v>
      </c>
      <c r="C16" s="14"/>
      <c r="D16" s="17"/>
      <c r="E16" s="17"/>
      <c r="F16" s="17"/>
      <c r="G16" s="17"/>
      <c r="H16" s="17"/>
      <c r="I16" s="17"/>
      <c r="J16" s="17"/>
      <c r="K16" s="17"/>
      <c r="L16" s="17"/>
      <c r="M16" s="10" t="s">
        <v>88</v>
      </c>
      <c r="N16" s="11" t="s">
        <v>89</v>
      </c>
      <c r="O16" s="10"/>
      <c r="P16" s="12"/>
      <c r="Q16" s="13"/>
      <c r="R16" s="14"/>
      <c r="S16" s="6" t="s">
        <v>90</v>
      </c>
      <c r="T16" s="15"/>
      <c r="U16" s="16" t="s">
        <v>62</v>
      </c>
      <c r="V16" s="7">
        <v>12321092</v>
      </c>
      <c r="W16" s="10" t="s">
        <v>58</v>
      </c>
    </row>
    <row r="17" spans="1:23" x14ac:dyDescent="0.3">
      <c r="A17" s="17"/>
      <c r="B17" s="14" t="s">
        <v>63</v>
      </c>
      <c r="C17" s="14"/>
      <c r="D17" s="17"/>
      <c r="E17" s="17"/>
      <c r="F17" s="17"/>
      <c r="G17" s="17"/>
      <c r="H17" s="17"/>
      <c r="I17" s="17"/>
      <c r="J17" s="17"/>
      <c r="K17" s="17"/>
      <c r="L17" s="17"/>
      <c r="M17" s="10" t="s">
        <v>70</v>
      </c>
      <c r="N17" s="11" t="s">
        <v>70</v>
      </c>
      <c r="O17" s="10"/>
      <c r="P17" s="12"/>
      <c r="Q17" s="13"/>
      <c r="R17" s="14"/>
      <c r="S17" s="6" t="s">
        <v>91</v>
      </c>
      <c r="T17" s="15"/>
      <c r="U17" s="16" t="s">
        <v>62</v>
      </c>
      <c r="V17" s="7">
        <v>12321153</v>
      </c>
      <c r="W17" s="10" t="s">
        <v>58</v>
      </c>
    </row>
    <row r="18" spans="1:23" x14ac:dyDescent="0.3">
      <c r="A18" s="17"/>
      <c r="B18" s="14" t="s">
        <v>63</v>
      </c>
      <c r="C18" s="14"/>
      <c r="D18" s="17"/>
      <c r="E18" s="17"/>
      <c r="F18" s="17"/>
      <c r="G18" s="17"/>
      <c r="H18" s="17"/>
      <c r="I18" s="17"/>
      <c r="J18" s="17"/>
      <c r="K18" s="17"/>
      <c r="L18" s="17"/>
      <c r="M18" s="10" t="s">
        <v>70</v>
      </c>
      <c r="N18" s="11" t="s">
        <v>70</v>
      </c>
      <c r="O18" s="10"/>
      <c r="P18" s="12"/>
      <c r="Q18" s="13"/>
      <c r="R18" s="14"/>
      <c r="S18" s="6" t="s">
        <v>92</v>
      </c>
      <c r="T18" s="15"/>
      <c r="U18" s="16" t="s">
        <v>62</v>
      </c>
      <c r="V18" s="7">
        <v>12321156</v>
      </c>
      <c r="W18" s="10" t="s">
        <v>58</v>
      </c>
    </row>
    <row r="19" spans="1:23" x14ac:dyDescent="0.3">
      <c r="A19" s="17"/>
      <c r="B19" s="14" t="s">
        <v>63</v>
      </c>
      <c r="C19" s="14"/>
      <c r="D19" s="17"/>
      <c r="E19" s="17"/>
      <c r="F19" s="17"/>
      <c r="G19" s="17"/>
      <c r="H19" s="17"/>
      <c r="I19" s="17"/>
      <c r="J19" s="17"/>
      <c r="K19" s="17"/>
      <c r="L19" s="17"/>
      <c r="M19" s="10" t="s">
        <v>64</v>
      </c>
      <c r="N19" s="11" t="s">
        <v>65</v>
      </c>
      <c r="O19" s="10"/>
      <c r="P19" s="12"/>
      <c r="Q19" s="13"/>
      <c r="R19" s="14"/>
      <c r="S19" s="6" t="s">
        <v>93</v>
      </c>
      <c r="T19" s="15"/>
      <c r="U19" s="16" t="s">
        <v>62</v>
      </c>
      <c r="V19" s="7">
        <v>12321775</v>
      </c>
      <c r="W19" s="10" t="s">
        <v>58</v>
      </c>
    </row>
    <row r="20" spans="1:23" ht="30.6" x14ac:dyDescent="0.3">
      <c r="A20" s="17"/>
      <c r="B20" s="14" t="s">
        <v>63</v>
      </c>
      <c r="C20" s="14"/>
      <c r="D20" s="17"/>
      <c r="E20" s="17"/>
      <c r="F20" s="17"/>
      <c r="G20" s="17"/>
      <c r="H20" s="17"/>
      <c r="I20" s="17"/>
      <c r="J20" s="17"/>
      <c r="K20" s="17"/>
      <c r="L20" s="17"/>
      <c r="M20" s="10" t="s">
        <v>94</v>
      </c>
      <c r="N20" s="11" t="s">
        <v>95</v>
      </c>
      <c r="O20" s="10"/>
      <c r="P20" s="12"/>
      <c r="Q20" s="13"/>
      <c r="R20" s="14"/>
      <c r="S20" s="6" t="s">
        <v>96</v>
      </c>
      <c r="T20" s="15"/>
      <c r="U20" s="16" t="s">
        <v>97</v>
      </c>
      <c r="V20" s="7">
        <v>12315166</v>
      </c>
      <c r="W20" s="10" t="s">
        <v>58</v>
      </c>
    </row>
    <row r="21" spans="1:23" ht="40.799999999999997" x14ac:dyDescent="0.3">
      <c r="A21" s="17"/>
      <c r="B21" s="14" t="s">
        <v>63</v>
      </c>
      <c r="C21" s="14"/>
      <c r="D21" s="17"/>
      <c r="E21" s="17"/>
      <c r="F21" s="17"/>
      <c r="G21" s="17"/>
      <c r="H21" s="17"/>
      <c r="I21" s="17"/>
      <c r="J21" s="17"/>
      <c r="K21" s="17"/>
      <c r="L21" s="17"/>
      <c r="M21" s="10" t="s">
        <v>98</v>
      </c>
      <c r="N21" s="11" t="s">
        <v>99</v>
      </c>
      <c r="O21" s="10"/>
      <c r="P21" s="12"/>
      <c r="Q21" s="13"/>
      <c r="R21" s="14"/>
      <c r="S21" s="6" t="s">
        <v>96</v>
      </c>
      <c r="T21" s="15"/>
      <c r="U21" s="16" t="s">
        <v>97</v>
      </c>
      <c r="V21" s="7">
        <v>12315167</v>
      </c>
      <c r="W21" s="10" t="s">
        <v>58</v>
      </c>
    </row>
    <row r="22" spans="1:23" x14ac:dyDescent="0.3">
      <c r="A22" s="17"/>
      <c r="B22" s="14" t="s">
        <v>63</v>
      </c>
      <c r="C22" s="14"/>
      <c r="D22" s="17"/>
      <c r="E22" s="17"/>
      <c r="F22" s="17"/>
      <c r="G22" s="17"/>
      <c r="H22" s="17"/>
      <c r="I22" s="17"/>
      <c r="J22" s="17"/>
      <c r="K22" s="17"/>
      <c r="L22" s="17"/>
      <c r="M22" s="10" t="s">
        <v>64</v>
      </c>
      <c r="N22" s="11" t="s">
        <v>65</v>
      </c>
      <c r="O22" s="10"/>
      <c r="P22" s="12"/>
      <c r="Q22" s="13"/>
      <c r="R22" s="14"/>
      <c r="S22" s="6" t="s">
        <v>100</v>
      </c>
      <c r="T22" s="15"/>
      <c r="U22" s="16" t="s">
        <v>62</v>
      </c>
      <c r="V22" s="7">
        <v>12489574</v>
      </c>
      <c r="W22" s="10" t="s">
        <v>58</v>
      </c>
    </row>
    <row r="23" spans="1:23" ht="30.6" x14ac:dyDescent="0.3">
      <c r="A23" s="17"/>
      <c r="B23" s="14" t="s">
        <v>63</v>
      </c>
      <c r="C23" s="14"/>
      <c r="D23" s="17"/>
      <c r="E23" s="17"/>
      <c r="F23" s="17"/>
      <c r="G23" s="17"/>
      <c r="H23" s="17"/>
      <c r="I23" s="17"/>
      <c r="J23" s="17"/>
      <c r="K23" s="17"/>
      <c r="L23" s="17"/>
      <c r="M23" s="10" t="s">
        <v>67</v>
      </c>
      <c r="N23" s="11" t="s">
        <v>68</v>
      </c>
      <c r="O23" s="10"/>
      <c r="P23" s="12"/>
      <c r="Q23" s="13"/>
      <c r="R23" s="14"/>
      <c r="S23" s="6" t="s">
        <v>100</v>
      </c>
      <c r="T23" s="15"/>
      <c r="U23" s="16" t="s">
        <v>62</v>
      </c>
      <c r="V23" s="7">
        <v>12489575</v>
      </c>
      <c r="W23" s="10" t="s">
        <v>58</v>
      </c>
    </row>
    <row r="24" spans="1:23" ht="40.799999999999997" x14ac:dyDescent="0.3">
      <c r="A24" s="17"/>
      <c r="B24" s="14" t="s">
        <v>63</v>
      </c>
      <c r="C24" s="14"/>
      <c r="D24" s="17"/>
      <c r="E24" s="17"/>
      <c r="F24" s="17"/>
      <c r="G24" s="17"/>
      <c r="H24" s="17"/>
      <c r="I24" s="17"/>
      <c r="J24" s="17"/>
      <c r="K24" s="17"/>
      <c r="L24" s="17"/>
      <c r="M24" s="10" t="s">
        <v>101</v>
      </c>
      <c r="N24" s="11" t="s">
        <v>102</v>
      </c>
      <c r="O24" s="10"/>
      <c r="P24" s="12"/>
      <c r="Q24" s="13"/>
      <c r="R24" s="14"/>
      <c r="S24" s="6" t="s">
        <v>103</v>
      </c>
      <c r="T24" s="15"/>
      <c r="U24" s="16" t="s">
        <v>62</v>
      </c>
      <c r="V24" s="7">
        <v>12490539</v>
      </c>
      <c r="W24" s="10" t="s">
        <v>58</v>
      </c>
    </row>
    <row r="25" spans="1:23" ht="30.6" x14ac:dyDescent="0.3">
      <c r="A25" s="17"/>
      <c r="B25" s="14" t="s">
        <v>63</v>
      </c>
      <c r="C25" s="14"/>
      <c r="D25" s="17"/>
      <c r="E25" s="17"/>
      <c r="F25" s="17"/>
      <c r="G25" s="17"/>
      <c r="H25" s="17"/>
      <c r="I25" s="17"/>
      <c r="J25" s="17"/>
      <c r="K25" s="17"/>
      <c r="L25" s="17"/>
      <c r="M25" s="10" t="s">
        <v>77</v>
      </c>
      <c r="N25" s="11" t="s">
        <v>78</v>
      </c>
      <c r="O25" s="10"/>
      <c r="P25" s="12"/>
      <c r="Q25" s="13"/>
      <c r="R25" s="14"/>
      <c r="S25" s="6" t="s">
        <v>104</v>
      </c>
      <c r="T25" s="15"/>
      <c r="U25" s="16" t="s">
        <v>62</v>
      </c>
      <c r="V25" s="7">
        <v>12490569</v>
      </c>
      <c r="W25" s="10" t="s">
        <v>58</v>
      </c>
    </row>
    <row r="26" spans="1:23" ht="51" x14ac:dyDescent="0.3">
      <c r="A26" s="17"/>
      <c r="B26" s="14" t="s">
        <v>63</v>
      </c>
      <c r="C26" s="14"/>
      <c r="D26" s="17"/>
      <c r="E26" s="17"/>
      <c r="F26" s="17"/>
      <c r="G26" s="17"/>
      <c r="H26" s="17"/>
      <c r="I26" s="17"/>
      <c r="J26" s="17"/>
      <c r="K26" s="17"/>
      <c r="L26" s="17"/>
      <c r="M26" s="10" t="s">
        <v>105</v>
      </c>
      <c r="N26" s="11" t="s">
        <v>106</v>
      </c>
      <c r="O26" s="10"/>
      <c r="P26" s="12"/>
      <c r="Q26" s="13"/>
      <c r="R26" s="14"/>
      <c r="S26" s="6" t="s">
        <v>104</v>
      </c>
      <c r="T26" s="15"/>
      <c r="U26" s="16" t="s">
        <v>62</v>
      </c>
      <c r="V26" s="7">
        <v>12490570</v>
      </c>
      <c r="W26" s="10" t="s">
        <v>58</v>
      </c>
    </row>
    <row r="27" spans="1:23" ht="30.6" x14ac:dyDescent="0.3">
      <c r="A27" s="17"/>
      <c r="B27" s="14" t="s">
        <v>63</v>
      </c>
      <c r="C27" s="14"/>
      <c r="D27" s="17"/>
      <c r="E27" s="17"/>
      <c r="F27" s="17"/>
      <c r="G27" s="17"/>
      <c r="H27" s="17"/>
      <c r="I27" s="17"/>
      <c r="J27" s="17"/>
      <c r="K27" s="17"/>
      <c r="L27" s="17"/>
      <c r="M27" s="10" t="s">
        <v>107</v>
      </c>
      <c r="N27" s="11" t="s">
        <v>108</v>
      </c>
      <c r="O27" s="10"/>
      <c r="P27" s="12"/>
      <c r="Q27" s="13"/>
      <c r="R27" s="14"/>
      <c r="S27" s="6" t="s">
        <v>109</v>
      </c>
      <c r="T27" s="15"/>
      <c r="U27" s="16" t="s">
        <v>62</v>
      </c>
      <c r="V27" s="7">
        <v>12490582</v>
      </c>
      <c r="W27" s="10" t="s">
        <v>58</v>
      </c>
    </row>
    <row r="28" spans="1:23" ht="30.6" x14ac:dyDescent="0.3">
      <c r="A28" s="17"/>
      <c r="B28" s="14" t="s">
        <v>63</v>
      </c>
      <c r="C28" s="14"/>
      <c r="D28" s="17"/>
      <c r="E28" s="17"/>
      <c r="F28" s="17"/>
      <c r="G28" s="17"/>
      <c r="H28" s="17"/>
      <c r="I28" s="17"/>
      <c r="J28" s="17"/>
      <c r="K28" s="17"/>
      <c r="L28" s="17"/>
      <c r="M28" s="10" t="s">
        <v>107</v>
      </c>
      <c r="N28" s="11" t="s">
        <v>108</v>
      </c>
      <c r="O28" s="10"/>
      <c r="P28" s="12"/>
      <c r="Q28" s="13"/>
      <c r="R28" s="14"/>
      <c r="S28" s="6" t="s">
        <v>110</v>
      </c>
      <c r="T28" s="15"/>
      <c r="U28" s="16" t="s">
        <v>62</v>
      </c>
      <c r="V28" s="7">
        <v>12490594</v>
      </c>
      <c r="W28" s="10" t="s">
        <v>58</v>
      </c>
    </row>
    <row r="29" spans="1:23" ht="30.6" x14ac:dyDescent="0.3">
      <c r="A29" s="17"/>
      <c r="B29" s="14" t="s">
        <v>63</v>
      </c>
      <c r="C29" s="14"/>
      <c r="D29" s="17"/>
      <c r="E29" s="17"/>
      <c r="F29" s="17"/>
      <c r="G29" s="17"/>
      <c r="H29" s="17"/>
      <c r="I29" s="17"/>
      <c r="J29" s="17"/>
      <c r="K29" s="17"/>
      <c r="L29" s="17"/>
      <c r="M29" s="10" t="s">
        <v>107</v>
      </c>
      <c r="N29" s="11" t="s">
        <v>108</v>
      </c>
      <c r="O29" s="10"/>
      <c r="P29" s="12"/>
      <c r="Q29" s="13"/>
      <c r="R29" s="14"/>
      <c r="S29" s="6" t="s">
        <v>111</v>
      </c>
      <c r="T29" s="15"/>
      <c r="U29" s="16" t="s">
        <v>62</v>
      </c>
      <c r="V29" s="7">
        <v>12490617</v>
      </c>
      <c r="W29" s="10" t="s">
        <v>58</v>
      </c>
    </row>
    <row r="30" spans="1:23" ht="30.6" x14ac:dyDescent="0.3">
      <c r="A30" s="17"/>
      <c r="B30" s="14" t="s">
        <v>63</v>
      </c>
      <c r="C30" s="14"/>
      <c r="D30" s="17"/>
      <c r="E30" s="17"/>
      <c r="F30" s="17"/>
      <c r="G30" s="17"/>
      <c r="H30" s="17"/>
      <c r="I30" s="17"/>
      <c r="J30" s="17"/>
      <c r="K30" s="17"/>
      <c r="L30" s="17"/>
      <c r="M30" s="10" t="s">
        <v>107</v>
      </c>
      <c r="N30" s="11" t="s">
        <v>108</v>
      </c>
      <c r="O30" s="10"/>
      <c r="P30" s="12"/>
      <c r="Q30" s="13"/>
      <c r="R30" s="14"/>
      <c r="S30" s="6" t="s">
        <v>112</v>
      </c>
      <c r="T30" s="15"/>
      <c r="U30" s="16" t="s">
        <v>62</v>
      </c>
      <c r="V30" s="7">
        <v>12490645</v>
      </c>
      <c r="W30" s="10" t="s">
        <v>58</v>
      </c>
    </row>
    <row r="31" spans="1:23" x14ac:dyDescent="0.3">
      <c r="A31" s="17"/>
      <c r="B31" s="14" t="s">
        <v>63</v>
      </c>
      <c r="C31" s="14"/>
      <c r="D31" s="17"/>
      <c r="E31" s="17"/>
      <c r="F31" s="17"/>
      <c r="G31" s="17"/>
      <c r="H31" s="17"/>
      <c r="I31" s="17"/>
      <c r="J31" s="17"/>
      <c r="K31" s="17"/>
      <c r="L31" s="17"/>
      <c r="M31" s="10" t="s">
        <v>64</v>
      </c>
      <c r="N31" s="11" t="s">
        <v>65</v>
      </c>
      <c r="O31" s="10"/>
      <c r="P31" s="12"/>
      <c r="Q31" s="13"/>
      <c r="R31" s="14"/>
      <c r="S31" s="6" t="s">
        <v>113</v>
      </c>
      <c r="T31" s="15"/>
      <c r="U31" s="16" t="s">
        <v>62</v>
      </c>
      <c r="V31" s="7">
        <v>12490735</v>
      </c>
      <c r="W31" s="10" t="s">
        <v>58</v>
      </c>
    </row>
    <row r="32" spans="1:23" x14ac:dyDescent="0.3">
      <c r="A32" s="17"/>
      <c r="B32" s="14" t="s">
        <v>63</v>
      </c>
      <c r="C32" s="14"/>
      <c r="D32" s="17"/>
      <c r="E32" s="17"/>
      <c r="F32" s="17"/>
      <c r="G32" s="17"/>
      <c r="H32" s="17"/>
      <c r="I32" s="17"/>
      <c r="J32" s="17"/>
      <c r="K32" s="17"/>
      <c r="L32" s="17"/>
      <c r="M32" s="10" t="s">
        <v>114</v>
      </c>
      <c r="N32" s="11" t="s">
        <v>115</v>
      </c>
      <c r="O32" s="10"/>
      <c r="P32" s="12"/>
      <c r="Q32" s="13"/>
      <c r="R32" s="14"/>
      <c r="S32" s="6" t="s">
        <v>116</v>
      </c>
      <c r="T32" s="15"/>
      <c r="U32" s="16" t="s">
        <v>62</v>
      </c>
      <c r="V32" s="7">
        <v>12490769</v>
      </c>
      <c r="W32" s="10" t="s">
        <v>58</v>
      </c>
    </row>
    <row r="33" spans="1:23" ht="40.799999999999997" x14ac:dyDescent="0.3">
      <c r="A33" s="17"/>
      <c r="B33" s="14" t="s">
        <v>63</v>
      </c>
      <c r="C33" s="14"/>
      <c r="D33" s="17"/>
      <c r="E33" s="17"/>
      <c r="F33" s="17"/>
      <c r="G33" s="17"/>
      <c r="H33" s="17"/>
      <c r="I33" s="17"/>
      <c r="J33" s="17"/>
      <c r="K33" s="17"/>
      <c r="L33" s="17"/>
      <c r="M33" s="10" t="s">
        <v>117</v>
      </c>
      <c r="N33" s="11" t="s">
        <v>118</v>
      </c>
      <c r="O33" s="10"/>
      <c r="P33" s="12"/>
      <c r="Q33" s="13"/>
      <c r="R33" s="14"/>
      <c r="S33" s="6" t="s">
        <v>119</v>
      </c>
      <c r="T33" s="15"/>
      <c r="U33" s="16" t="s">
        <v>62</v>
      </c>
      <c r="V33" s="7">
        <v>12496014</v>
      </c>
      <c r="W33" s="10" t="s">
        <v>58</v>
      </c>
    </row>
    <row r="34" spans="1:23" ht="30.6" x14ac:dyDescent="0.3">
      <c r="A34" s="17" t="s">
        <v>63</v>
      </c>
      <c r="B34" s="14"/>
      <c r="C34" s="14"/>
      <c r="D34" s="17"/>
      <c r="E34" s="17"/>
      <c r="F34" s="17"/>
      <c r="G34" s="17"/>
      <c r="H34" s="17"/>
      <c r="I34" s="17"/>
      <c r="J34" s="17"/>
      <c r="K34" s="17"/>
      <c r="L34" s="17"/>
      <c r="M34" s="10" t="s">
        <v>120</v>
      </c>
      <c r="N34" s="11" t="s">
        <v>121</v>
      </c>
      <c r="O34" s="10"/>
      <c r="P34" s="12"/>
      <c r="Q34" s="13"/>
      <c r="R34" s="14"/>
      <c r="S34" s="6" t="s">
        <v>122</v>
      </c>
      <c r="T34" s="15"/>
      <c r="U34" s="16" t="s">
        <v>62</v>
      </c>
      <c r="V34" s="7">
        <v>12501985</v>
      </c>
      <c r="W34" s="10" t="s">
        <v>120</v>
      </c>
    </row>
    <row r="35" spans="1:23" x14ac:dyDescent="0.3">
      <c r="A35" s="17"/>
      <c r="B35" s="14" t="s">
        <v>63</v>
      </c>
      <c r="C35" s="14"/>
      <c r="D35" s="17"/>
      <c r="E35" s="17"/>
      <c r="F35" s="17"/>
      <c r="G35" s="17"/>
      <c r="H35" s="17"/>
      <c r="I35" s="17"/>
      <c r="J35" s="17"/>
      <c r="K35" s="17"/>
      <c r="L35" s="17"/>
      <c r="M35" s="10" t="s">
        <v>64</v>
      </c>
      <c r="N35" s="11" t="s">
        <v>65</v>
      </c>
      <c r="O35" s="10"/>
      <c r="P35" s="12"/>
      <c r="Q35" s="13"/>
      <c r="R35" s="14"/>
      <c r="S35" s="6" t="s">
        <v>123</v>
      </c>
      <c r="T35" s="15"/>
      <c r="U35" s="16" t="s">
        <v>62</v>
      </c>
      <c r="V35" s="7">
        <v>12315149</v>
      </c>
      <c r="W35" s="10" t="s">
        <v>120</v>
      </c>
    </row>
    <row r="36" spans="1:23" ht="30.6" x14ac:dyDescent="0.3">
      <c r="A36" s="17"/>
      <c r="B36" s="14" t="s">
        <v>63</v>
      </c>
      <c r="C36" s="14"/>
      <c r="D36" s="17"/>
      <c r="E36" s="17"/>
      <c r="F36" s="17"/>
      <c r="G36" s="17"/>
      <c r="H36" s="17"/>
      <c r="I36" s="17"/>
      <c r="J36" s="17"/>
      <c r="K36" s="17"/>
      <c r="L36" s="17"/>
      <c r="M36" s="10" t="s">
        <v>124</v>
      </c>
      <c r="N36" s="11" t="s">
        <v>68</v>
      </c>
      <c r="O36" s="10"/>
      <c r="P36" s="12"/>
      <c r="Q36" s="13"/>
      <c r="R36" s="14"/>
      <c r="S36" s="6" t="s">
        <v>123</v>
      </c>
      <c r="T36" s="15"/>
      <c r="U36" s="16" t="s">
        <v>62</v>
      </c>
      <c r="V36" s="7">
        <v>12315150</v>
      </c>
      <c r="W36" s="10" t="s">
        <v>120</v>
      </c>
    </row>
    <row r="37" spans="1:23" x14ac:dyDescent="0.3">
      <c r="A37" s="17"/>
      <c r="B37" s="14" t="s">
        <v>63</v>
      </c>
      <c r="C37" s="14"/>
      <c r="D37" s="17"/>
      <c r="E37" s="17"/>
      <c r="F37" s="17"/>
      <c r="G37" s="17"/>
      <c r="H37" s="17"/>
      <c r="I37" s="17"/>
      <c r="J37" s="17"/>
      <c r="K37" s="17"/>
      <c r="L37" s="17"/>
      <c r="M37" s="10" t="s">
        <v>64</v>
      </c>
      <c r="N37" s="11" t="s">
        <v>65</v>
      </c>
      <c r="O37" s="10"/>
      <c r="P37" s="12"/>
      <c r="Q37" s="13"/>
      <c r="R37" s="14"/>
      <c r="S37" s="6" t="s">
        <v>125</v>
      </c>
      <c r="T37" s="15"/>
      <c r="U37" s="16" t="s">
        <v>62</v>
      </c>
      <c r="V37" s="7">
        <v>12315159</v>
      </c>
      <c r="W37" s="10" t="s">
        <v>120</v>
      </c>
    </row>
    <row r="38" spans="1:23" ht="30.6" x14ac:dyDescent="0.3">
      <c r="A38" s="17"/>
      <c r="B38" s="14" t="s">
        <v>63</v>
      </c>
      <c r="C38" s="14"/>
      <c r="D38" s="17"/>
      <c r="E38" s="17"/>
      <c r="F38" s="17"/>
      <c r="G38" s="17"/>
      <c r="H38" s="17"/>
      <c r="I38" s="17"/>
      <c r="J38" s="17"/>
      <c r="K38" s="17"/>
      <c r="L38" s="17"/>
      <c r="M38" s="10" t="s">
        <v>77</v>
      </c>
      <c r="N38" s="11" t="s">
        <v>78</v>
      </c>
      <c r="O38" s="10"/>
      <c r="P38" s="12"/>
      <c r="Q38" s="13"/>
      <c r="R38" s="14"/>
      <c r="S38" s="6" t="s">
        <v>126</v>
      </c>
      <c r="T38" s="15"/>
      <c r="U38" s="16" t="s">
        <v>62</v>
      </c>
      <c r="V38" s="7">
        <v>12501997</v>
      </c>
      <c r="W38" s="10" t="s">
        <v>120</v>
      </c>
    </row>
    <row r="39" spans="1:23" ht="51" x14ac:dyDescent="0.3">
      <c r="A39" s="17"/>
      <c r="B39" s="14" t="s">
        <v>63</v>
      </c>
      <c r="C39" s="14"/>
      <c r="D39" s="17"/>
      <c r="E39" s="17"/>
      <c r="F39" s="17"/>
      <c r="G39" s="17"/>
      <c r="H39" s="17"/>
      <c r="I39" s="17"/>
      <c r="J39" s="17"/>
      <c r="K39" s="17"/>
      <c r="L39" s="17"/>
      <c r="M39" s="10" t="s">
        <v>105</v>
      </c>
      <c r="N39" s="11" t="s">
        <v>106</v>
      </c>
      <c r="O39" s="10"/>
      <c r="P39" s="12"/>
      <c r="Q39" s="13"/>
      <c r="R39" s="14"/>
      <c r="S39" s="6" t="s">
        <v>126</v>
      </c>
      <c r="T39" s="15"/>
      <c r="U39" s="16" t="s">
        <v>62</v>
      </c>
      <c r="V39" s="7">
        <v>12502000</v>
      </c>
      <c r="W39" s="10" t="s">
        <v>120</v>
      </c>
    </row>
    <row r="40" spans="1:23" ht="30.6" x14ac:dyDescent="0.3">
      <c r="A40" s="17"/>
      <c r="B40" s="14" t="s">
        <v>63</v>
      </c>
      <c r="C40" s="14"/>
      <c r="D40" s="17"/>
      <c r="E40" s="17"/>
      <c r="F40" s="17"/>
      <c r="G40" s="17"/>
      <c r="H40" s="17"/>
      <c r="I40" s="17"/>
      <c r="J40" s="17"/>
      <c r="K40" s="17"/>
      <c r="L40" s="17"/>
      <c r="M40" s="10" t="s">
        <v>77</v>
      </c>
      <c r="N40" s="11" t="s">
        <v>78</v>
      </c>
      <c r="O40" s="10"/>
      <c r="P40" s="12"/>
      <c r="Q40" s="13"/>
      <c r="R40" s="14"/>
      <c r="S40" s="6" t="s">
        <v>127</v>
      </c>
      <c r="T40" s="15"/>
      <c r="U40" s="16" t="s">
        <v>62</v>
      </c>
      <c r="V40" s="7">
        <v>12502001</v>
      </c>
      <c r="W40" s="10" t="s">
        <v>120</v>
      </c>
    </row>
    <row r="41" spans="1:23" ht="30.6" x14ac:dyDescent="0.3">
      <c r="A41" s="17"/>
      <c r="B41" s="14" t="s">
        <v>63</v>
      </c>
      <c r="C41" s="14"/>
      <c r="D41" s="17"/>
      <c r="E41" s="17"/>
      <c r="F41" s="17"/>
      <c r="G41" s="17"/>
      <c r="H41" s="17"/>
      <c r="I41" s="17"/>
      <c r="J41" s="17"/>
      <c r="K41" s="17"/>
      <c r="L41" s="17"/>
      <c r="M41" s="10" t="s">
        <v>77</v>
      </c>
      <c r="N41" s="11" t="s">
        <v>78</v>
      </c>
      <c r="O41" s="10"/>
      <c r="P41" s="12"/>
      <c r="Q41" s="13"/>
      <c r="R41" s="14"/>
      <c r="S41" s="6" t="s">
        <v>128</v>
      </c>
      <c r="T41" s="15"/>
      <c r="U41" s="16" t="s">
        <v>62</v>
      </c>
      <c r="V41" s="7">
        <v>12502005</v>
      </c>
      <c r="W41" s="10" t="s">
        <v>120</v>
      </c>
    </row>
    <row r="42" spans="1:23" ht="51" x14ac:dyDescent="0.3">
      <c r="A42" s="17"/>
      <c r="B42" s="14" t="s">
        <v>63</v>
      </c>
      <c r="C42" s="14"/>
      <c r="D42" s="17"/>
      <c r="E42" s="17"/>
      <c r="F42" s="17"/>
      <c r="G42" s="17"/>
      <c r="H42" s="17"/>
      <c r="I42" s="17"/>
      <c r="J42" s="17"/>
      <c r="K42" s="17"/>
      <c r="L42" s="17"/>
      <c r="M42" s="10" t="s">
        <v>105</v>
      </c>
      <c r="N42" s="11" t="s">
        <v>106</v>
      </c>
      <c r="O42" s="10"/>
      <c r="P42" s="12"/>
      <c r="Q42" s="13"/>
      <c r="R42" s="14"/>
      <c r="S42" s="6" t="s">
        <v>127</v>
      </c>
      <c r="T42" s="15"/>
      <c r="U42" s="16" t="s">
        <v>62</v>
      </c>
      <c r="V42" s="7">
        <v>12502007</v>
      </c>
      <c r="W42" s="10" t="s">
        <v>120</v>
      </c>
    </row>
    <row r="43" spans="1:23" ht="51" x14ac:dyDescent="0.3">
      <c r="A43" s="17"/>
      <c r="B43" s="14" t="s">
        <v>63</v>
      </c>
      <c r="C43" s="14"/>
      <c r="D43" s="17"/>
      <c r="E43" s="17"/>
      <c r="F43" s="17"/>
      <c r="G43" s="17"/>
      <c r="H43" s="17"/>
      <c r="I43" s="17"/>
      <c r="J43" s="17"/>
      <c r="K43" s="17"/>
      <c r="L43" s="17"/>
      <c r="M43" s="10" t="s">
        <v>105</v>
      </c>
      <c r="N43" s="11" t="s">
        <v>106</v>
      </c>
      <c r="O43" s="10"/>
      <c r="P43" s="12"/>
      <c r="Q43" s="13"/>
      <c r="R43" s="14"/>
      <c r="S43" s="6" t="s">
        <v>128</v>
      </c>
      <c r="T43" s="15"/>
      <c r="U43" s="16" t="s">
        <v>62</v>
      </c>
      <c r="V43" s="7">
        <v>12502008</v>
      </c>
      <c r="W43" s="10" t="s">
        <v>120</v>
      </c>
    </row>
    <row r="44" spans="1:23" ht="30.6" x14ac:dyDescent="0.3">
      <c r="A44" s="17"/>
      <c r="B44" s="14" t="s">
        <v>63</v>
      </c>
      <c r="C44" s="14"/>
      <c r="D44" s="17"/>
      <c r="E44" s="17"/>
      <c r="F44" s="17"/>
      <c r="G44" s="17"/>
      <c r="H44" s="17"/>
      <c r="I44" s="17"/>
      <c r="J44" s="17"/>
      <c r="K44" s="17"/>
      <c r="L44" s="17"/>
      <c r="M44" s="10" t="s">
        <v>77</v>
      </c>
      <c r="N44" s="11" t="s">
        <v>78</v>
      </c>
      <c r="O44" s="10"/>
      <c r="P44" s="12"/>
      <c r="Q44" s="13"/>
      <c r="R44" s="14"/>
      <c r="S44" s="6" t="s">
        <v>129</v>
      </c>
      <c r="T44" s="15"/>
      <c r="U44" s="16" t="s">
        <v>62</v>
      </c>
      <c r="V44" s="7">
        <v>12503928</v>
      </c>
      <c r="W44" s="10" t="s">
        <v>120</v>
      </c>
    </row>
    <row r="45" spans="1:23" ht="30.6" x14ac:dyDescent="0.3">
      <c r="A45" s="17"/>
      <c r="B45" s="14" t="s">
        <v>63</v>
      </c>
      <c r="C45" s="14"/>
      <c r="D45" s="17"/>
      <c r="E45" s="17"/>
      <c r="F45" s="17"/>
      <c r="G45" s="17"/>
      <c r="H45" s="17"/>
      <c r="I45" s="17"/>
      <c r="J45" s="17"/>
      <c r="K45" s="17"/>
      <c r="L45" s="17"/>
      <c r="M45" s="10" t="s">
        <v>130</v>
      </c>
      <c r="N45" s="11" t="s">
        <v>68</v>
      </c>
      <c r="O45" s="10"/>
      <c r="P45" s="12"/>
      <c r="Q45" s="13"/>
      <c r="R45" s="14"/>
      <c r="S45" s="6" t="s">
        <v>125</v>
      </c>
      <c r="T45" s="15"/>
      <c r="U45" s="16" t="s">
        <v>62</v>
      </c>
      <c r="V45" s="7">
        <v>12315160</v>
      </c>
      <c r="W45" s="10" t="s">
        <v>120</v>
      </c>
    </row>
    <row r="46" spans="1:23" ht="30.6" x14ac:dyDescent="0.3">
      <c r="A46" s="17"/>
      <c r="B46" s="14" t="s">
        <v>63</v>
      </c>
      <c r="C46" s="14"/>
      <c r="D46" s="17"/>
      <c r="E46" s="17"/>
      <c r="F46" s="17"/>
      <c r="G46" s="17"/>
      <c r="H46" s="17"/>
      <c r="I46" s="17"/>
      <c r="J46" s="17"/>
      <c r="K46" s="17"/>
      <c r="L46" s="17"/>
      <c r="M46" s="10" t="s">
        <v>94</v>
      </c>
      <c r="N46" s="11" t="s">
        <v>95</v>
      </c>
      <c r="O46" s="10"/>
      <c r="P46" s="12"/>
      <c r="Q46" s="13"/>
      <c r="R46" s="14"/>
      <c r="S46" s="6" t="s">
        <v>96</v>
      </c>
      <c r="T46" s="15"/>
      <c r="U46" s="16" t="s">
        <v>97</v>
      </c>
      <c r="V46" s="7">
        <v>12315166</v>
      </c>
      <c r="W46" s="10" t="s">
        <v>120</v>
      </c>
    </row>
    <row r="47" spans="1:23" ht="40.799999999999997" x14ac:dyDescent="0.3">
      <c r="A47" s="17"/>
      <c r="B47" s="14" t="s">
        <v>63</v>
      </c>
      <c r="C47" s="14"/>
      <c r="D47" s="17"/>
      <c r="E47" s="17"/>
      <c r="F47" s="17"/>
      <c r="G47" s="17"/>
      <c r="H47" s="17"/>
      <c r="I47" s="17"/>
      <c r="J47" s="17"/>
      <c r="K47" s="17"/>
      <c r="L47" s="17"/>
      <c r="M47" s="10" t="s">
        <v>98</v>
      </c>
      <c r="N47" s="11" t="s">
        <v>99</v>
      </c>
      <c r="O47" s="10"/>
      <c r="P47" s="12"/>
      <c r="Q47" s="13"/>
      <c r="R47" s="14"/>
      <c r="S47" s="6" t="s">
        <v>96</v>
      </c>
      <c r="T47" s="15"/>
      <c r="U47" s="16" t="s">
        <v>97</v>
      </c>
      <c r="V47" s="7">
        <v>12315167</v>
      </c>
      <c r="W47" s="10" t="s">
        <v>120</v>
      </c>
    </row>
    <row r="48" spans="1:23" ht="30.6" x14ac:dyDescent="0.3">
      <c r="A48" s="17"/>
      <c r="B48" s="14" t="s">
        <v>63</v>
      </c>
      <c r="C48" s="14"/>
      <c r="D48" s="17"/>
      <c r="E48" s="17"/>
      <c r="F48" s="17"/>
      <c r="G48" s="17"/>
      <c r="H48" s="17"/>
      <c r="I48" s="17"/>
      <c r="J48" s="17"/>
      <c r="K48" s="17"/>
      <c r="L48" s="17"/>
      <c r="M48" s="10" t="s">
        <v>107</v>
      </c>
      <c r="N48" s="11" t="s">
        <v>108</v>
      </c>
      <c r="O48" s="10"/>
      <c r="P48" s="12"/>
      <c r="Q48" s="13"/>
      <c r="R48" s="14"/>
      <c r="S48" s="6" t="s">
        <v>131</v>
      </c>
      <c r="T48" s="15"/>
      <c r="U48" s="16" t="s">
        <v>62</v>
      </c>
      <c r="V48" s="7">
        <v>12491937</v>
      </c>
      <c r="W48" s="10" t="s">
        <v>120</v>
      </c>
    </row>
    <row r="49" spans="1:23" ht="40.799999999999997" x14ac:dyDescent="0.3">
      <c r="A49" s="17"/>
      <c r="B49" s="14" t="s">
        <v>63</v>
      </c>
      <c r="C49" s="14"/>
      <c r="D49" s="17"/>
      <c r="E49" s="17"/>
      <c r="F49" s="17"/>
      <c r="G49" s="17"/>
      <c r="H49" s="17"/>
      <c r="I49" s="17"/>
      <c r="J49" s="17"/>
      <c r="K49" s="17"/>
      <c r="L49" s="17"/>
      <c r="M49" s="10" t="s">
        <v>132</v>
      </c>
      <c r="N49" s="11" t="s">
        <v>133</v>
      </c>
      <c r="O49" s="10"/>
      <c r="P49" s="12"/>
      <c r="Q49" s="13"/>
      <c r="R49" s="14"/>
      <c r="S49" s="6" t="s">
        <v>131</v>
      </c>
      <c r="T49" s="15"/>
      <c r="U49" s="16" t="s">
        <v>62</v>
      </c>
      <c r="V49" s="7">
        <v>12491939</v>
      </c>
      <c r="W49" s="10" t="s">
        <v>120</v>
      </c>
    </row>
    <row r="50" spans="1:23" ht="40.799999999999997" x14ac:dyDescent="0.3">
      <c r="A50" s="17"/>
      <c r="B50" s="14" t="s">
        <v>63</v>
      </c>
      <c r="C50" s="14"/>
      <c r="D50" s="17"/>
      <c r="E50" s="17"/>
      <c r="F50" s="17"/>
      <c r="G50" s="17"/>
      <c r="H50" s="17"/>
      <c r="I50" s="17"/>
      <c r="J50" s="17"/>
      <c r="K50" s="17"/>
      <c r="L50" s="17"/>
      <c r="M50" s="10" t="s">
        <v>117</v>
      </c>
      <c r="N50" s="11" t="s">
        <v>118</v>
      </c>
      <c r="O50" s="10"/>
      <c r="P50" s="12"/>
      <c r="Q50" s="13"/>
      <c r="R50" s="14"/>
      <c r="S50" s="6" t="s">
        <v>134</v>
      </c>
      <c r="T50" s="15"/>
      <c r="U50" s="16" t="s">
        <v>62</v>
      </c>
      <c r="V50" s="7">
        <v>12496015</v>
      </c>
      <c r="W50" s="10" t="s">
        <v>120</v>
      </c>
    </row>
    <row r="51" spans="1:23" ht="30.6" x14ac:dyDescent="0.3">
      <c r="A51" s="17" t="s">
        <v>63</v>
      </c>
      <c r="B51" s="14"/>
      <c r="C51" s="14"/>
      <c r="D51" s="17"/>
      <c r="E51" s="17"/>
      <c r="F51" s="17"/>
      <c r="G51" s="17"/>
      <c r="H51" s="17"/>
      <c r="I51" s="17"/>
      <c r="J51" s="17"/>
      <c r="K51" s="17"/>
      <c r="L51" s="17"/>
      <c r="M51" s="10" t="s">
        <v>135</v>
      </c>
      <c r="N51" s="11" t="s">
        <v>136</v>
      </c>
      <c r="O51" s="10" t="s">
        <v>137</v>
      </c>
      <c r="P51" s="12"/>
      <c r="Q51" s="13"/>
      <c r="R51" s="14"/>
      <c r="S51" s="6" t="s">
        <v>138</v>
      </c>
      <c r="T51" s="15"/>
      <c r="U51" s="16" t="s">
        <v>62</v>
      </c>
      <c r="V51" s="7">
        <v>12502323</v>
      </c>
      <c r="W51" s="10" t="s">
        <v>135</v>
      </c>
    </row>
    <row r="52" spans="1:23" x14ac:dyDescent="0.3">
      <c r="A52" s="17"/>
      <c r="B52" s="14" t="s">
        <v>63</v>
      </c>
      <c r="C52" s="14"/>
      <c r="D52" s="17"/>
      <c r="E52" s="17"/>
      <c r="F52" s="17"/>
      <c r="G52" s="17"/>
      <c r="H52" s="17"/>
      <c r="I52" s="17"/>
      <c r="J52" s="17"/>
      <c r="K52" s="17"/>
      <c r="L52" s="17"/>
      <c r="M52" s="10" t="s">
        <v>64</v>
      </c>
      <c r="N52" s="11" t="s">
        <v>65</v>
      </c>
      <c r="O52" s="10"/>
      <c r="P52" s="12"/>
      <c r="Q52" s="13"/>
      <c r="R52" s="14"/>
      <c r="S52" s="6" t="s">
        <v>66</v>
      </c>
      <c r="T52" s="15"/>
      <c r="U52" s="16" t="s">
        <v>62</v>
      </c>
      <c r="V52" s="7">
        <v>12320256</v>
      </c>
      <c r="W52" s="10" t="s">
        <v>135</v>
      </c>
    </row>
    <row r="53" spans="1:23" ht="30.6" x14ac:dyDescent="0.3">
      <c r="A53" s="17"/>
      <c r="B53" s="14" t="s">
        <v>63</v>
      </c>
      <c r="C53" s="14"/>
      <c r="D53" s="17"/>
      <c r="E53" s="17"/>
      <c r="F53" s="17"/>
      <c r="G53" s="17"/>
      <c r="H53" s="17"/>
      <c r="I53" s="17"/>
      <c r="J53" s="17"/>
      <c r="K53" s="17"/>
      <c r="L53" s="17"/>
      <c r="M53" s="10" t="s">
        <v>67</v>
      </c>
      <c r="N53" s="11" t="s">
        <v>68</v>
      </c>
      <c r="O53" s="10"/>
      <c r="P53" s="12"/>
      <c r="Q53" s="13"/>
      <c r="R53" s="14"/>
      <c r="S53" s="6" t="s">
        <v>66</v>
      </c>
      <c r="T53" s="15"/>
      <c r="U53" s="16" t="s">
        <v>62</v>
      </c>
      <c r="V53" s="7">
        <v>12320257</v>
      </c>
      <c r="W53" s="10" t="s">
        <v>135</v>
      </c>
    </row>
    <row r="54" spans="1:23" ht="30.6" x14ac:dyDescent="0.3">
      <c r="A54" s="17"/>
      <c r="B54" s="14" t="s">
        <v>63</v>
      </c>
      <c r="C54" s="14"/>
      <c r="D54" s="17"/>
      <c r="E54" s="17"/>
      <c r="F54" s="17"/>
      <c r="G54" s="17"/>
      <c r="H54" s="17"/>
      <c r="I54" s="17"/>
      <c r="J54" s="17"/>
      <c r="K54" s="17"/>
      <c r="L54" s="17"/>
      <c r="M54" s="10" t="s">
        <v>67</v>
      </c>
      <c r="N54" s="11" t="s">
        <v>68</v>
      </c>
      <c r="O54" s="10"/>
      <c r="P54" s="12"/>
      <c r="Q54" s="13"/>
      <c r="R54" s="14"/>
      <c r="S54" s="6" t="s">
        <v>69</v>
      </c>
      <c r="T54" s="15"/>
      <c r="U54" s="16" t="s">
        <v>62</v>
      </c>
      <c r="V54" s="7">
        <v>12320417</v>
      </c>
      <c r="W54" s="10" t="s">
        <v>135</v>
      </c>
    </row>
    <row r="55" spans="1:23" ht="30.6" x14ac:dyDescent="0.3">
      <c r="A55" s="17"/>
      <c r="B55" s="14" t="s">
        <v>63</v>
      </c>
      <c r="C55" s="14"/>
      <c r="D55" s="17"/>
      <c r="E55" s="17"/>
      <c r="F55" s="17"/>
      <c r="G55" s="17"/>
      <c r="H55" s="17"/>
      <c r="I55" s="17"/>
      <c r="J55" s="17"/>
      <c r="K55" s="17"/>
      <c r="L55" s="17"/>
      <c r="M55" s="10" t="s">
        <v>139</v>
      </c>
      <c r="N55" s="11" t="s">
        <v>140</v>
      </c>
      <c r="O55" s="10"/>
      <c r="P55" s="12"/>
      <c r="Q55" s="13"/>
      <c r="R55" s="14"/>
      <c r="S55" s="6" t="s">
        <v>71</v>
      </c>
      <c r="T55" s="15"/>
      <c r="U55" s="16" t="s">
        <v>62</v>
      </c>
      <c r="V55" s="7">
        <v>12320691</v>
      </c>
      <c r="W55" s="10" t="s">
        <v>135</v>
      </c>
    </row>
    <row r="56" spans="1:23" ht="30.6" x14ac:dyDescent="0.3">
      <c r="A56" s="17"/>
      <c r="B56" s="14" t="s">
        <v>63</v>
      </c>
      <c r="C56" s="14"/>
      <c r="D56" s="17"/>
      <c r="E56" s="17"/>
      <c r="F56" s="17"/>
      <c r="G56" s="17"/>
      <c r="H56" s="17"/>
      <c r="I56" s="17"/>
      <c r="J56" s="17"/>
      <c r="K56" s="17"/>
      <c r="L56" s="17"/>
      <c r="M56" s="10" t="s">
        <v>141</v>
      </c>
      <c r="N56" s="11" t="s">
        <v>140</v>
      </c>
      <c r="O56" s="10"/>
      <c r="P56" s="12"/>
      <c r="Q56" s="13"/>
      <c r="R56" s="14"/>
      <c r="S56" s="6" t="s">
        <v>72</v>
      </c>
      <c r="T56" s="15"/>
      <c r="U56" s="16" t="s">
        <v>62</v>
      </c>
      <c r="V56" s="7">
        <v>12320710</v>
      </c>
      <c r="W56" s="10" t="s">
        <v>135</v>
      </c>
    </row>
    <row r="57" spans="1:23" ht="40.799999999999997" x14ac:dyDescent="0.3">
      <c r="A57" s="17"/>
      <c r="B57" s="14" t="s">
        <v>63</v>
      </c>
      <c r="C57" s="14"/>
      <c r="D57" s="17"/>
      <c r="E57" s="17"/>
      <c r="F57" s="17"/>
      <c r="G57" s="17"/>
      <c r="H57" s="17"/>
      <c r="I57" s="17"/>
      <c r="J57" s="17"/>
      <c r="K57" s="17"/>
      <c r="L57" s="17"/>
      <c r="M57" s="10" t="s">
        <v>142</v>
      </c>
      <c r="N57" s="11" t="s">
        <v>143</v>
      </c>
      <c r="O57" s="10"/>
      <c r="P57" s="12"/>
      <c r="Q57" s="13"/>
      <c r="R57" s="14"/>
      <c r="S57" s="6" t="s">
        <v>84</v>
      </c>
      <c r="T57" s="15"/>
      <c r="U57" s="16" t="s">
        <v>62</v>
      </c>
      <c r="V57" s="7">
        <v>12321027</v>
      </c>
      <c r="W57" s="10" t="s">
        <v>135</v>
      </c>
    </row>
    <row r="58" spans="1:23" ht="20.399999999999999" x14ac:dyDescent="0.3">
      <c r="A58" s="17"/>
      <c r="B58" s="14" t="s">
        <v>63</v>
      </c>
      <c r="C58" s="14"/>
      <c r="D58" s="17"/>
      <c r="E58" s="17"/>
      <c r="F58" s="17"/>
      <c r="G58" s="17"/>
      <c r="H58" s="17"/>
      <c r="I58" s="17"/>
      <c r="J58" s="17"/>
      <c r="K58" s="17"/>
      <c r="L58" s="17"/>
      <c r="M58" s="10" t="s">
        <v>85</v>
      </c>
      <c r="N58" s="11" t="s">
        <v>86</v>
      </c>
      <c r="O58" s="10"/>
      <c r="P58" s="12"/>
      <c r="Q58" s="13"/>
      <c r="R58" s="14"/>
      <c r="S58" s="6" t="s">
        <v>87</v>
      </c>
      <c r="T58" s="15"/>
      <c r="U58" s="16" t="s">
        <v>62</v>
      </c>
      <c r="V58" s="7">
        <v>12321071</v>
      </c>
      <c r="W58" s="10" t="s">
        <v>135</v>
      </c>
    </row>
    <row r="59" spans="1:23" ht="40.799999999999997" x14ac:dyDescent="0.3">
      <c r="A59" s="17"/>
      <c r="B59" s="14" t="s">
        <v>63</v>
      </c>
      <c r="C59" s="14"/>
      <c r="D59" s="17"/>
      <c r="E59" s="17"/>
      <c r="F59" s="17"/>
      <c r="G59" s="17"/>
      <c r="H59" s="17"/>
      <c r="I59" s="17"/>
      <c r="J59" s="17"/>
      <c r="K59" s="17"/>
      <c r="L59" s="17"/>
      <c r="M59" s="10" t="s">
        <v>88</v>
      </c>
      <c r="N59" s="11" t="s">
        <v>89</v>
      </c>
      <c r="O59" s="10"/>
      <c r="P59" s="12"/>
      <c r="Q59" s="13"/>
      <c r="R59" s="14"/>
      <c r="S59" s="6" t="s">
        <v>87</v>
      </c>
      <c r="T59" s="15"/>
      <c r="U59" s="16" t="s">
        <v>62</v>
      </c>
      <c r="V59" s="7">
        <v>12321073</v>
      </c>
      <c r="W59" s="10" t="s">
        <v>135</v>
      </c>
    </row>
    <row r="60" spans="1:23" ht="20.399999999999999" x14ac:dyDescent="0.3">
      <c r="A60" s="17"/>
      <c r="B60" s="14" t="s">
        <v>63</v>
      </c>
      <c r="C60" s="14"/>
      <c r="D60" s="17"/>
      <c r="E60" s="17"/>
      <c r="F60" s="17"/>
      <c r="G60" s="17"/>
      <c r="H60" s="17"/>
      <c r="I60" s="17"/>
      <c r="J60" s="17"/>
      <c r="K60" s="17"/>
      <c r="L60" s="17"/>
      <c r="M60" s="10" t="s">
        <v>85</v>
      </c>
      <c r="N60" s="11" t="s">
        <v>86</v>
      </c>
      <c r="O60" s="10"/>
      <c r="P60" s="12"/>
      <c r="Q60" s="13"/>
      <c r="R60" s="14"/>
      <c r="S60" s="6" t="s">
        <v>90</v>
      </c>
      <c r="T60" s="15"/>
      <c r="U60" s="16" t="s">
        <v>62</v>
      </c>
      <c r="V60" s="7">
        <v>12321091</v>
      </c>
      <c r="W60" s="10" t="s">
        <v>135</v>
      </c>
    </row>
    <row r="61" spans="1:23" ht="40.799999999999997" x14ac:dyDescent="0.3">
      <c r="A61" s="17"/>
      <c r="B61" s="14" t="s">
        <v>63</v>
      </c>
      <c r="C61" s="14"/>
      <c r="D61" s="17"/>
      <c r="E61" s="17"/>
      <c r="F61" s="17"/>
      <c r="G61" s="17"/>
      <c r="H61" s="17"/>
      <c r="I61" s="17"/>
      <c r="J61" s="17"/>
      <c r="K61" s="17"/>
      <c r="L61" s="17"/>
      <c r="M61" s="10" t="s">
        <v>88</v>
      </c>
      <c r="N61" s="11" t="s">
        <v>89</v>
      </c>
      <c r="O61" s="10"/>
      <c r="P61" s="12"/>
      <c r="Q61" s="13"/>
      <c r="R61" s="14"/>
      <c r="S61" s="6" t="s">
        <v>90</v>
      </c>
      <c r="T61" s="15"/>
      <c r="U61" s="16" t="s">
        <v>62</v>
      </c>
      <c r="V61" s="7">
        <v>12321092</v>
      </c>
      <c r="W61" s="10" t="s">
        <v>135</v>
      </c>
    </row>
    <row r="62" spans="1:23" x14ac:dyDescent="0.3">
      <c r="A62" s="17"/>
      <c r="B62" s="14" t="s">
        <v>63</v>
      </c>
      <c r="C62" s="14"/>
      <c r="D62" s="17"/>
      <c r="E62" s="17"/>
      <c r="F62" s="17"/>
      <c r="G62" s="17"/>
      <c r="H62" s="17"/>
      <c r="I62" s="17"/>
      <c r="J62" s="17"/>
      <c r="K62" s="17"/>
      <c r="L62" s="17"/>
      <c r="M62" s="10" t="s">
        <v>70</v>
      </c>
      <c r="N62" s="11" t="s">
        <v>70</v>
      </c>
      <c r="O62" s="10"/>
      <c r="P62" s="12"/>
      <c r="Q62" s="13"/>
      <c r="R62" s="14"/>
      <c r="S62" s="6" t="s">
        <v>91</v>
      </c>
      <c r="T62" s="15"/>
      <c r="U62" s="16" t="s">
        <v>62</v>
      </c>
      <c r="V62" s="7">
        <v>12321153</v>
      </c>
      <c r="W62" s="10" t="s">
        <v>135</v>
      </c>
    </row>
    <row r="63" spans="1:23" ht="30.6" x14ac:dyDescent="0.3">
      <c r="A63" s="17"/>
      <c r="B63" s="14" t="s">
        <v>63</v>
      </c>
      <c r="C63" s="14"/>
      <c r="D63" s="17"/>
      <c r="E63" s="17"/>
      <c r="F63" s="17"/>
      <c r="G63" s="17"/>
      <c r="H63" s="17"/>
      <c r="I63" s="17"/>
      <c r="J63" s="17"/>
      <c r="K63" s="17"/>
      <c r="L63" s="17"/>
      <c r="M63" s="10" t="s">
        <v>141</v>
      </c>
      <c r="N63" s="11" t="s">
        <v>140</v>
      </c>
      <c r="O63" s="10"/>
      <c r="P63" s="12"/>
      <c r="Q63" s="13"/>
      <c r="R63" s="14"/>
      <c r="S63" s="6" t="s">
        <v>92</v>
      </c>
      <c r="T63" s="15"/>
      <c r="U63" s="16" t="s">
        <v>62</v>
      </c>
      <c r="V63" s="7">
        <v>12321157</v>
      </c>
      <c r="W63" s="10" t="s">
        <v>135</v>
      </c>
    </row>
    <row r="64" spans="1:23" x14ac:dyDescent="0.3">
      <c r="A64" s="17"/>
      <c r="B64" s="14" t="s">
        <v>63</v>
      </c>
      <c r="C64" s="14"/>
      <c r="D64" s="17"/>
      <c r="E64" s="17"/>
      <c r="F64" s="17"/>
      <c r="G64" s="17"/>
      <c r="H64" s="17"/>
      <c r="I64" s="17"/>
      <c r="J64" s="17"/>
      <c r="K64" s="17"/>
      <c r="L64" s="17"/>
      <c r="M64" s="10" t="s">
        <v>144</v>
      </c>
      <c r="N64" s="11" t="s">
        <v>145</v>
      </c>
      <c r="O64" s="10"/>
      <c r="P64" s="12"/>
      <c r="Q64" s="13"/>
      <c r="R64" s="14"/>
      <c r="S64" s="6" t="s">
        <v>146</v>
      </c>
      <c r="T64" s="15"/>
      <c r="U64" s="16" t="s">
        <v>62</v>
      </c>
      <c r="V64" s="7">
        <v>12321201</v>
      </c>
      <c r="W64" s="10" t="s">
        <v>135</v>
      </c>
    </row>
    <row r="65" spans="1:23" x14ac:dyDescent="0.3">
      <c r="A65" s="17"/>
      <c r="B65" s="14" t="s">
        <v>63</v>
      </c>
      <c r="C65" s="14"/>
      <c r="D65" s="17"/>
      <c r="E65" s="17"/>
      <c r="F65" s="17"/>
      <c r="G65" s="17"/>
      <c r="H65" s="17"/>
      <c r="I65" s="17"/>
      <c r="J65" s="17"/>
      <c r="K65" s="17"/>
      <c r="L65" s="17"/>
      <c r="M65" s="10" t="s">
        <v>144</v>
      </c>
      <c r="N65" s="11" t="s">
        <v>145</v>
      </c>
      <c r="O65" s="10"/>
      <c r="P65" s="12"/>
      <c r="Q65" s="13"/>
      <c r="R65" s="14"/>
      <c r="S65" s="6" t="s">
        <v>147</v>
      </c>
      <c r="T65" s="15"/>
      <c r="U65" s="16" t="s">
        <v>62</v>
      </c>
      <c r="V65" s="7">
        <v>12321202</v>
      </c>
      <c r="W65" s="10" t="s">
        <v>135</v>
      </c>
    </row>
    <row r="66" spans="1:23" x14ac:dyDescent="0.3">
      <c r="A66" s="17"/>
      <c r="B66" s="14" t="s">
        <v>63</v>
      </c>
      <c r="C66" s="14"/>
      <c r="D66" s="17"/>
      <c r="E66" s="17"/>
      <c r="F66" s="17"/>
      <c r="G66" s="17"/>
      <c r="H66" s="17"/>
      <c r="I66" s="17"/>
      <c r="J66" s="17"/>
      <c r="K66" s="17"/>
      <c r="L66" s="17"/>
      <c r="M66" s="10" t="s">
        <v>144</v>
      </c>
      <c r="N66" s="11" t="s">
        <v>145</v>
      </c>
      <c r="O66" s="10"/>
      <c r="P66" s="12"/>
      <c r="Q66" s="13"/>
      <c r="R66" s="14"/>
      <c r="S66" s="6" t="s">
        <v>148</v>
      </c>
      <c r="T66" s="15"/>
      <c r="U66" s="16" t="s">
        <v>62</v>
      </c>
      <c r="V66" s="7">
        <v>12321203</v>
      </c>
      <c r="W66" s="10" t="s">
        <v>135</v>
      </c>
    </row>
    <row r="67" spans="1:23" x14ac:dyDescent="0.3">
      <c r="A67" s="17"/>
      <c r="B67" s="14" t="s">
        <v>63</v>
      </c>
      <c r="C67" s="14"/>
      <c r="D67" s="17"/>
      <c r="E67" s="17"/>
      <c r="F67" s="17"/>
      <c r="G67" s="17"/>
      <c r="H67" s="17"/>
      <c r="I67" s="17"/>
      <c r="J67" s="17"/>
      <c r="K67" s="17"/>
      <c r="L67" s="17"/>
      <c r="M67" s="10" t="s">
        <v>144</v>
      </c>
      <c r="N67" s="11" t="s">
        <v>145</v>
      </c>
      <c r="O67" s="10"/>
      <c r="P67" s="12"/>
      <c r="Q67" s="13"/>
      <c r="R67" s="14"/>
      <c r="S67" s="6" t="s">
        <v>149</v>
      </c>
      <c r="T67" s="15"/>
      <c r="U67" s="16" t="s">
        <v>62</v>
      </c>
      <c r="V67" s="7">
        <v>12321205</v>
      </c>
      <c r="W67" s="10" t="s">
        <v>135</v>
      </c>
    </row>
    <row r="68" spans="1:23" x14ac:dyDescent="0.3">
      <c r="A68" s="17"/>
      <c r="B68" s="14" t="s">
        <v>63</v>
      </c>
      <c r="C68" s="14"/>
      <c r="D68" s="17"/>
      <c r="E68" s="17"/>
      <c r="F68" s="17"/>
      <c r="G68" s="17"/>
      <c r="H68" s="17"/>
      <c r="I68" s="17"/>
      <c r="J68" s="17"/>
      <c r="K68" s="17"/>
      <c r="L68" s="17"/>
      <c r="M68" s="10" t="s">
        <v>144</v>
      </c>
      <c r="N68" s="11" t="s">
        <v>145</v>
      </c>
      <c r="O68" s="10"/>
      <c r="P68" s="12"/>
      <c r="Q68" s="13"/>
      <c r="R68" s="14"/>
      <c r="S68" s="6" t="s">
        <v>150</v>
      </c>
      <c r="T68" s="15"/>
      <c r="U68" s="16" t="s">
        <v>62</v>
      </c>
      <c r="V68" s="7">
        <v>12321206</v>
      </c>
      <c r="W68" s="10" t="s">
        <v>135</v>
      </c>
    </row>
    <row r="69" spans="1:23" ht="30.6" x14ac:dyDescent="0.3">
      <c r="A69" s="17"/>
      <c r="B69" s="14" t="s">
        <v>63</v>
      </c>
      <c r="C69" s="14"/>
      <c r="D69" s="17"/>
      <c r="E69" s="17"/>
      <c r="F69" s="17"/>
      <c r="G69" s="17"/>
      <c r="H69" s="17"/>
      <c r="I69" s="17"/>
      <c r="J69" s="17"/>
      <c r="K69" s="17"/>
      <c r="L69" s="17"/>
      <c r="M69" s="10" t="s">
        <v>94</v>
      </c>
      <c r="N69" s="11" t="s">
        <v>95</v>
      </c>
      <c r="O69" s="10"/>
      <c r="P69" s="12"/>
      <c r="Q69" s="13"/>
      <c r="R69" s="14"/>
      <c r="S69" s="6" t="s">
        <v>96</v>
      </c>
      <c r="T69" s="15"/>
      <c r="U69" s="16" t="s">
        <v>97</v>
      </c>
      <c r="V69" s="7">
        <v>12315166</v>
      </c>
      <c r="W69" s="10" t="s">
        <v>135</v>
      </c>
    </row>
    <row r="70" spans="1:23" ht="40.799999999999997" x14ac:dyDescent="0.3">
      <c r="A70" s="17"/>
      <c r="B70" s="14" t="s">
        <v>63</v>
      </c>
      <c r="C70" s="14"/>
      <c r="D70" s="17"/>
      <c r="E70" s="17"/>
      <c r="F70" s="17"/>
      <c r="G70" s="17"/>
      <c r="H70" s="17"/>
      <c r="I70" s="17"/>
      <c r="J70" s="17"/>
      <c r="K70" s="17"/>
      <c r="L70" s="17"/>
      <c r="M70" s="10" t="s">
        <v>98</v>
      </c>
      <c r="N70" s="11" t="s">
        <v>99</v>
      </c>
      <c r="O70" s="10"/>
      <c r="P70" s="12"/>
      <c r="Q70" s="13"/>
      <c r="R70" s="14"/>
      <c r="S70" s="6" t="s">
        <v>96</v>
      </c>
      <c r="T70" s="15"/>
      <c r="U70" s="16" t="s">
        <v>97</v>
      </c>
      <c r="V70" s="7">
        <v>12315167</v>
      </c>
      <c r="W70" s="10" t="s">
        <v>135</v>
      </c>
    </row>
    <row r="71" spans="1:23" x14ac:dyDescent="0.3">
      <c r="A71" s="17"/>
      <c r="B71" s="14" t="s">
        <v>63</v>
      </c>
      <c r="C71" s="14"/>
      <c r="D71" s="17"/>
      <c r="E71" s="17"/>
      <c r="F71" s="17"/>
      <c r="G71" s="17"/>
      <c r="H71" s="17"/>
      <c r="I71" s="17"/>
      <c r="J71" s="17"/>
      <c r="K71" s="17"/>
      <c r="L71" s="17"/>
      <c r="M71" s="10" t="s">
        <v>64</v>
      </c>
      <c r="N71" s="11" t="s">
        <v>65</v>
      </c>
      <c r="O71" s="10"/>
      <c r="P71" s="12"/>
      <c r="Q71" s="13"/>
      <c r="R71" s="14"/>
      <c r="S71" s="6" t="s">
        <v>100</v>
      </c>
      <c r="T71" s="15"/>
      <c r="U71" s="16" t="s">
        <v>62</v>
      </c>
      <c r="V71" s="7">
        <v>12489574</v>
      </c>
      <c r="W71" s="10" t="s">
        <v>135</v>
      </c>
    </row>
    <row r="72" spans="1:23" ht="30.6" x14ac:dyDescent="0.3">
      <c r="A72" s="17"/>
      <c r="B72" s="14" t="s">
        <v>63</v>
      </c>
      <c r="C72" s="14"/>
      <c r="D72" s="17"/>
      <c r="E72" s="17"/>
      <c r="F72" s="17"/>
      <c r="G72" s="17"/>
      <c r="H72" s="17"/>
      <c r="I72" s="17"/>
      <c r="J72" s="17"/>
      <c r="K72" s="17"/>
      <c r="L72" s="17"/>
      <c r="M72" s="10" t="s">
        <v>67</v>
      </c>
      <c r="N72" s="11" t="s">
        <v>68</v>
      </c>
      <c r="O72" s="10"/>
      <c r="P72" s="12"/>
      <c r="Q72" s="13"/>
      <c r="R72" s="14"/>
      <c r="S72" s="6" t="s">
        <v>100</v>
      </c>
      <c r="T72" s="15"/>
      <c r="U72" s="16" t="s">
        <v>62</v>
      </c>
      <c r="V72" s="7">
        <v>12489575</v>
      </c>
      <c r="W72" s="10" t="s">
        <v>135</v>
      </c>
    </row>
    <row r="73" spans="1:23" ht="30.6" x14ac:dyDescent="0.3">
      <c r="A73" s="17"/>
      <c r="B73" s="14" t="s">
        <v>63</v>
      </c>
      <c r="C73" s="14"/>
      <c r="D73" s="17"/>
      <c r="E73" s="17"/>
      <c r="F73" s="17"/>
      <c r="G73" s="17"/>
      <c r="H73" s="17"/>
      <c r="I73" s="17"/>
      <c r="J73" s="17"/>
      <c r="K73" s="17"/>
      <c r="L73" s="17"/>
      <c r="M73" s="10" t="s">
        <v>77</v>
      </c>
      <c r="N73" s="11" t="s">
        <v>78</v>
      </c>
      <c r="O73" s="10"/>
      <c r="P73" s="12"/>
      <c r="Q73" s="13"/>
      <c r="R73" s="14"/>
      <c r="S73" s="6" t="s">
        <v>104</v>
      </c>
      <c r="T73" s="15"/>
      <c r="U73" s="16" t="s">
        <v>62</v>
      </c>
      <c r="V73" s="7">
        <v>12490569</v>
      </c>
      <c r="W73" s="10" t="s">
        <v>135</v>
      </c>
    </row>
    <row r="74" spans="1:23" ht="51" x14ac:dyDescent="0.3">
      <c r="A74" s="17"/>
      <c r="B74" s="14" t="s">
        <v>63</v>
      </c>
      <c r="C74" s="14"/>
      <c r="D74" s="17"/>
      <c r="E74" s="17"/>
      <c r="F74" s="17"/>
      <c r="G74" s="17"/>
      <c r="H74" s="17"/>
      <c r="I74" s="17"/>
      <c r="J74" s="17"/>
      <c r="K74" s="17"/>
      <c r="L74" s="17"/>
      <c r="M74" s="10" t="s">
        <v>105</v>
      </c>
      <c r="N74" s="11" t="s">
        <v>106</v>
      </c>
      <c r="O74" s="10"/>
      <c r="P74" s="12"/>
      <c r="Q74" s="13"/>
      <c r="R74" s="14"/>
      <c r="S74" s="6" t="s">
        <v>104</v>
      </c>
      <c r="T74" s="15"/>
      <c r="U74" s="16" t="s">
        <v>62</v>
      </c>
      <c r="V74" s="7">
        <v>12490570</v>
      </c>
      <c r="W74" s="10" t="s">
        <v>135</v>
      </c>
    </row>
    <row r="75" spans="1:23" ht="30.6" x14ac:dyDescent="0.3">
      <c r="A75" s="17"/>
      <c r="B75" s="14" t="s">
        <v>63</v>
      </c>
      <c r="C75" s="14"/>
      <c r="D75" s="17"/>
      <c r="E75" s="17"/>
      <c r="F75" s="17"/>
      <c r="G75" s="17"/>
      <c r="H75" s="17"/>
      <c r="I75" s="17"/>
      <c r="J75" s="17"/>
      <c r="K75" s="17"/>
      <c r="L75" s="17"/>
      <c r="M75" s="10" t="s">
        <v>107</v>
      </c>
      <c r="N75" s="11" t="s">
        <v>108</v>
      </c>
      <c r="O75" s="10"/>
      <c r="P75" s="12"/>
      <c r="Q75" s="13"/>
      <c r="R75" s="14"/>
      <c r="S75" s="6" t="s">
        <v>109</v>
      </c>
      <c r="T75" s="15"/>
      <c r="U75" s="16" t="s">
        <v>62</v>
      </c>
      <c r="V75" s="7">
        <v>12490582</v>
      </c>
      <c r="W75" s="10" t="s">
        <v>135</v>
      </c>
    </row>
    <row r="76" spans="1:23" ht="30.6" x14ac:dyDescent="0.3">
      <c r="A76" s="17"/>
      <c r="B76" s="14" t="s">
        <v>63</v>
      </c>
      <c r="C76" s="14"/>
      <c r="D76" s="17"/>
      <c r="E76" s="17"/>
      <c r="F76" s="17"/>
      <c r="G76" s="17"/>
      <c r="H76" s="17"/>
      <c r="I76" s="17"/>
      <c r="J76" s="17"/>
      <c r="K76" s="17"/>
      <c r="L76" s="17"/>
      <c r="M76" s="10" t="s">
        <v>107</v>
      </c>
      <c r="N76" s="11" t="s">
        <v>108</v>
      </c>
      <c r="O76" s="10"/>
      <c r="P76" s="12"/>
      <c r="Q76" s="13"/>
      <c r="R76" s="14"/>
      <c r="S76" s="6" t="s">
        <v>111</v>
      </c>
      <c r="T76" s="15"/>
      <c r="U76" s="16" t="s">
        <v>62</v>
      </c>
      <c r="V76" s="7">
        <v>12490617</v>
      </c>
      <c r="W76" s="10" t="s">
        <v>135</v>
      </c>
    </row>
    <row r="77" spans="1:23" x14ac:dyDescent="0.3">
      <c r="A77" s="17"/>
      <c r="B77" s="14" t="s">
        <v>63</v>
      </c>
      <c r="C77" s="14"/>
      <c r="D77" s="17"/>
      <c r="E77" s="17"/>
      <c r="F77" s="17"/>
      <c r="G77" s="17"/>
      <c r="H77" s="17"/>
      <c r="I77" s="17"/>
      <c r="J77" s="17"/>
      <c r="K77" s="17"/>
      <c r="L77" s="17"/>
      <c r="M77" s="10" t="s">
        <v>114</v>
      </c>
      <c r="N77" s="11" t="s">
        <v>115</v>
      </c>
      <c r="O77" s="10"/>
      <c r="P77" s="12"/>
      <c r="Q77" s="13"/>
      <c r="R77" s="14"/>
      <c r="S77" s="6" t="s">
        <v>116</v>
      </c>
      <c r="T77" s="15"/>
      <c r="U77" s="16" t="s">
        <v>62</v>
      </c>
      <c r="V77" s="7">
        <v>12490769</v>
      </c>
      <c r="W77" s="10" t="s">
        <v>135</v>
      </c>
    </row>
    <row r="78" spans="1:23" ht="30.6" x14ac:dyDescent="0.3">
      <c r="A78" s="17"/>
      <c r="B78" s="14" t="s">
        <v>63</v>
      </c>
      <c r="C78" s="14"/>
      <c r="D78" s="17"/>
      <c r="E78" s="17"/>
      <c r="F78" s="17"/>
      <c r="G78" s="17"/>
      <c r="H78" s="17"/>
      <c r="I78" s="17"/>
      <c r="J78" s="17"/>
      <c r="K78" s="17"/>
      <c r="L78" s="17"/>
      <c r="M78" s="10" t="s">
        <v>107</v>
      </c>
      <c r="N78" s="11" t="s">
        <v>108</v>
      </c>
      <c r="O78" s="10"/>
      <c r="P78" s="12"/>
      <c r="Q78" s="13"/>
      <c r="R78" s="14"/>
      <c r="S78" s="6" t="s">
        <v>151</v>
      </c>
      <c r="T78" s="15"/>
      <c r="U78" s="16" t="s">
        <v>62</v>
      </c>
      <c r="V78" s="7">
        <v>12491649</v>
      </c>
      <c r="W78" s="10" t="s">
        <v>135</v>
      </c>
    </row>
    <row r="79" spans="1:23" ht="40.799999999999997" x14ac:dyDescent="0.3">
      <c r="A79" s="17"/>
      <c r="B79" s="14" t="s">
        <v>63</v>
      </c>
      <c r="C79" s="14"/>
      <c r="D79" s="17"/>
      <c r="E79" s="17"/>
      <c r="F79" s="17"/>
      <c r="G79" s="17"/>
      <c r="H79" s="17"/>
      <c r="I79" s="17"/>
      <c r="J79" s="17"/>
      <c r="K79" s="17"/>
      <c r="L79" s="17"/>
      <c r="M79" s="10" t="s">
        <v>117</v>
      </c>
      <c r="N79" s="11" t="s">
        <v>118</v>
      </c>
      <c r="O79" s="10"/>
      <c r="P79" s="12"/>
      <c r="Q79" s="13"/>
      <c r="R79" s="14"/>
      <c r="S79" s="6" t="s">
        <v>152</v>
      </c>
      <c r="T79" s="15"/>
      <c r="U79" s="16" t="s">
        <v>62</v>
      </c>
      <c r="V79" s="7">
        <v>12496018</v>
      </c>
      <c r="W79" s="10" t="s">
        <v>135</v>
      </c>
    </row>
    <row r="80" spans="1:23" ht="30.6" x14ac:dyDescent="0.3">
      <c r="A80" s="17"/>
      <c r="B80" s="14" t="s">
        <v>63</v>
      </c>
      <c r="C80" s="14"/>
      <c r="D80" s="17"/>
      <c r="E80" s="17"/>
      <c r="F80" s="17"/>
      <c r="G80" s="17"/>
      <c r="H80" s="17"/>
      <c r="I80" s="17"/>
      <c r="J80" s="17"/>
      <c r="K80" s="17"/>
      <c r="L80" s="17"/>
      <c r="M80" s="10" t="s">
        <v>107</v>
      </c>
      <c r="N80" s="11" t="s">
        <v>108</v>
      </c>
      <c r="O80" s="10"/>
      <c r="P80" s="12"/>
      <c r="Q80" s="13"/>
      <c r="R80" s="14"/>
      <c r="S80" s="6" t="s">
        <v>153</v>
      </c>
      <c r="T80" s="15"/>
      <c r="U80" s="16" t="s">
        <v>62</v>
      </c>
      <c r="V80" s="7">
        <v>12502550</v>
      </c>
      <c r="W80" s="10" t="s">
        <v>135</v>
      </c>
    </row>
    <row r="81" spans="1:23" ht="40.799999999999997" x14ac:dyDescent="0.3">
      <c r="A81" s="17"/>
      <c r="B81" s="14" t="s">
        <v>63</v>
      </c>
      <c r="C81" s="14"/>
      <c r="D81" s="17"/>
      <c r="E81" s="17"/>
      <c r="F81" s="17"/>
      <c r="G81" s="17"/>
      <c r="H81" s="17"/>
      <c r="I81" s="17"/>
      <c r="J81" s="17"/>
      <c r="K81" s="17"/>
      <c r="L81" s="17"/>
      <c r="M81" s="10" t="s">
        <v>101</v>
      </c>
      <c r="N81" s="11" t="s">
        <v>102</v>
      </c>
      <c r="O81" s="10"/>
      <c r="P81" s="12"/>
      <c r="Q81" s="13"/>
      <c r="R81" s="14"/>
      <c r="S81" s="6" t="s">
        <v>154</v>
      </c>
      <c r="T81" s="15"/>
      <c r="U81" s="16" t="s">
        <v>62</v>
      </c>
      <c r="V81" s="7">
        <v>12502551</v>
      </c>
      <c r="W81" s="10" t="s">
        <v>135</v>
      </c>
    </row>
  </sheetData>
  <conditionalFormatting sqref="A1:A81">
    <cfRule type="expression" dxfId="57" priority="5">
      <formula>A1&lt;&gt;""</formula>
    </cfRule>
  </conditionalFormatting>
  <conditionalFormatting sqref="B1:B81">
    <cfRule type="expression" dxfId="56" priority="4">
      <formula>B1&lt;&gt;""</formula>
    </cfRule>
  </conditionalFormatting>
  <conditionalFormatting sqref="C1:C81">
    <cfRule type="expression" dxfId="55" priority="3">
      <formula>C1&lt;&gt;""</formula>
    </cfRule>
  </conditionalFormatting>
  <conditionalFormatting sqref="D1:K81">
    <cfRule type="expression" dxfId="54" priority="2">
      <formula>D1&lt;&gt;""</formula>
    </cfRule>
  </conditionalFormatting>
  <conditionalFormatting sqref="N1:N81">
    <cfRule type="expression" dxfId="53" priority="1">
      <formula>OR($H1="x", $H1="x")</formula>
    </cfRule>
  </conditionalFormatting>
  <conditionalFormatting sqref="S1:S81">
    <cfRule type="duplicateValues" dxfId="52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46424-5E7F-4BC4-A12E-8315369287F3}">
  <dimension ref="A1:W56"/>
  <sheetViews>
    <sheetView workbookViewId="0">
      <selection activeCell="W19" sqref="W1:W1048576"/>
    </sheetView>
  </sheetViews>
  <sheetFormatPr defaultRowHeight="14.4" x14ac:dyDescent="0.3"/>
  <cols>
    <col min="13" max="13" width="17" customWidth="1"/>
  </cols>
  <sheetData>
    <row r="1" spans="1:23" ht="30.6" x14ac:dyDescent="0.3">
      <c r="A1" s="17" t="s">
        <v>63</v>
      </c>
      <c r="B1" s="14"/>
      <c r="C1" s="14"/>
      <c r="D1" s="17"/>
      <c r="E1" s="17"/>
      <c r="F1" s="17"/>
      <c r="G1" s="17"/>
      <c r="H1" s="17"/>
      <c r="I1" s="17"/>
      <c r="J1" s="17"/>
      <c r="K1" s="17"/>
      <c r="L1" s="17"/>
      <c r="M1" s="10" t="s">
        <v>155</v>
      </c>
      <c r="N1" s="11" t="s">
        <v>156</v>
      </c>
      <c r="O1" s="10"/>
      <c r="P1" s="12"/>
      <c r="Q1" s="13"/>
      <c r="R1" s="14"/>
      <c r="S1" s="6" t="s">
        <v>54</v>
      </c>
      <c r="T1" s="15"/>
      <c r="U1" s="16" t="s">
        <v>62</v>
      </c>
      <c r="V1" s="7">
        <v>12510210</v>
      </c>
      <c r="W1" s="10" t="s">
        <v>155</v>
      </c>
    </row>
    <row r="2" spans="1:23" x14ac:dyDescent="0.3">
      <c r="A2" s="17"/>
      <c r="B2" s="14" t="s">
        <v>63</v>
      </c>
      <c r="C2" s="14" t="s">
        <v>46</v>
      </c>
      <c r="D2" s="17" t="s">
        <v>46</v>
      </c>
      <c r="E2" s="17"/>
      <c r="F2" s="17"/>
      <c r="G2" s="17"/>
      <c r="H2" s="17"/>
      <c r="I2" s="17"/>
      <c r="J2" s="17"/>
      <c r="K2" s="17"/>
      <c r="L2" s="17"/>
      <c r="M2" s="10" t="s">
        <v>70</v>
      </c>
      <c r="N2" s="11" t="s">
        <v>70</v>
      </c>
      <c r="O2" s="10"/>
      <c r="P2" s="12"/>
      <c r="Q2" s="13"/>
      <c r="R2" s="14"/>
      <c r="S2" s="6" t="s">
        <v>157</v>
      </c>
      <c r="T2" s="15"/>
      <c r="U2" s="16" t="s">
        <v>62</v>
      </c>
      <c r="V2" s="7">
        <v>12323443</v>
      </c>
    </row>
    <row r="3" spans="1:23" x14ac:dyDescent="0.3">
      <c r="A3" s="17"/>
      <c r="B3" s="14" t="s">
        <v>63</v>
      </c>
      <c r="C3" s="14" t="s">
        <v>46</v>
      </c>
      <c r="D3" s="17" t="s">
        <v>46</v>
      </c>
      <c r="E3" s="17"/>
      <c r="F3" s="17"/>
      <c r="G3" s="17"/>
      <c r="H3" s="17"/>
      <c r="I3" s="17"/>
      <c r="J3" s="17"/>
      <c r="K3" s="17"/>
      <c r="L3" s="17"/>
      <c r="M3" s="10" t="s">
        <v>70</v>
      </c>
      <c r="N3" s="11" t="s">
        <v>70</v>
      </c>
      <c r="O3" s="10"/>
      <c r="P3" s="12"/>
      <c r="Q3" s="13"/>
      <c r="R3" s="14"/>
      <c r="S3" s="6" t="s">
        <v>158</v>
      </c>
      <c r="T3" s="15"/>
      <c r="U3" s="16" t="s">
        <v>62</v>
      </c>
      <c r="V3" s="7">
        <v>12323476</v>
      </c>
    </row>
    <row r="4" spans="1:23" ht="51" x14ac:dyDescent="0.3">
      <c r="A4" s="17"/>
      <c r="B4" s="14" t="s">
        <v>63</v>
      </c>
      <c r="C4" s="14" t="s">
        <v>46</v>
      </c>
      <c r="D4" s="17" t="s">
        <v>46</v>
      </c>
      <c r="E4" s="17"/>
      <c r="F4" s="17"/>
      <c r="G4" s="17"/>
      <c r="H4" s="17"/>
      <c r="I4" s="17"/>
      <c r="J4" s="17"/>
      <c r="K4" s="17"/>
      <c r="L4" s="17"/>
      <c r="M4" s="10" t="s">
        <v>159</v>
      </c>
      <c r="N4" s="11" t="s">
        <v>160</v>
      </c>
      <c r="O4" s="10"/>
      <c r="P4" s="12"/>
      <c r="Q4" s="13"/>
      <c r="R4" s="14"/>
      <c r="S4" s="6" t="s">
        <v>161</v>
      </c>
      <c r="T4" s="15"/>
      <c r="U4" s="16" t="s">
        <v>62</v>
      </c>
      <c r="V4" s="7">
        <v>12495956</v>
      </c>
    </row>
    <row r="5" spans="1:23" x14ac:dyDescent="0.3">
      <c r="A5" s="17"/>
      <c r="B5" s="14" t="s">
        <v>63</v>
      </c>
      <c r="C5" s="14" t="s">
        <v>46</v>
      </c>
      <c r="D5" s="17" t="s">
        <v>46</v>
      </c>
      <c r="E5" s="17"/>
      <c r="F5" s="17"/>
      <c r="G5" s="17"/>
      <c r="H5" s="17"/>
      <c r="I5" s="17"/>
      <c r="J5" s="17"/>
      <c r="K5" s="17"/>
      <c r="L5" s="17"/>
      <c r="M5" s="10" t="s">
        <v>64</v>
      </c>
      <c r="N5" s="11" t="s">
        <v>65</v>
      </c>
      <c r="O5" s="10"/>
      <c r="P5" s="12"/>
      <c r="Q5" s="13"/>
      <c r="R5" s="14"/>
      <c r="S5" s="6" t="s">
        <v>162</v>
      </c>
      <c r="T5" s="15"/>
      <c r="U5" s="16" t="s">
        <v>62</v>
      </c>
      <c r="V5" s="7">
        <v>12323041</v>
      </c>
    </row>
    <row r="6" spans="1:23" ht="30.6" x14ac:dyDescent="0.3">
      <c r="A6" s="17"/>
      <c r="B6" s="14" t="s">
        <v>63</v>
      </c>
      <c r="C6" s="14" t="s">
        <v>46</v>
      </c>
      <c r="D6" s="17" t="s">
        <v>46</v>
      </c>
      <c r="E6" s="17"/>
      <c r="F6" s="17"/>
      <c r="G6" s="17"/>
      <c r="H6" s="17"/>
      <c r="I6" s="17"/>
      <c r="J6" s="17"/>
      <c r="K6" s="17"/>
      <c r="L6" s="17"/>
      <c r="M6" s="10" t="s">
        <v>67</v>
      </c>
      <c r="N6" s="11" t="s">
        <v>68</v>
      </c>
      <c r="O6" s="10"/>
      <c r="P6" s="12"/>
      <c r="Q6" s="13"/>
      <c r="R6" s="14"/>
      <c r="S6" s="6" t="s">
        <v>162</v>
      </c>
      <c r="T6" s="15"/>
      <c r="U6" s="16" t="s">
        <v>62</v>
      </c>
      <c r="V6" s="7">
        <v>12323042</v>
      </c>
    </row>
    <row r="7" spans="1:23" x14ac:dyDescent="0.3">
      <c r="A7" s="17"/>
      <c r="B7" s="14" t="s">
        <v>63</v>
      </c>
      <c r="C7" s="14" t="s">
        <v>46</v>
      </c>
      <c r="D7" s="17" t="s">
        <v>46</v>
      </c>
      <c r="E7" s="17"/>
      <c r="F7" s="17"/>
      <c r="G7" s="17"/>
      <c r="H7" s="17"/>
      <c r="I7" s="17"/>
      <c r="J7" s="17"/>
      <c r="K7" s="17"/>
      <c r="L7" s="17"/>
      <c r="M7" s="10" t="s">
        <v>64</v>
      </c>
      <c r="N7" s="11" t="s">
        <v>65</v>
      </c>
      <c r="O7" s="10"/>
      <c r="P7" s="12"/>
      <c r="Q7" s="13"/>
      <c r="R7" s="14"/>
      <c r="S7" s="6" t="s">
        <v>163</v>
      </c>
      <c r="T7" s="15"/>
      <c r="U7" s="16" t="s">
        <v>62</v>
      </c>
      <c r="V7" s="7">
        <v>12323068</v>
      </c>
    </row>
    <row r="8" spans="1:23" x14ac:dyDescent="0.3">
      <c r="A8" s="17"/>
      <c r="B8" s="14" t="s">
        <v>63</v>
      </c>
      <c r="C8" s="14" t="s">
        <v>46</v>
      </c>
      <c r="D8" s="17" t="s">
        <v>46</v>
      </c>
      <c r="E8" s="17"/>
      <c r="F8" s="17"/>
      <c r="G8" s="17"/>
      <c r="H8" s="17"/>
      <c r="I8" s="17"/>
      <c r="J8" s="17"/>
      <c r="K8" s="17"/>
      <c r="L8" s="17"/>
      <c r="M8" s="10" t="s">
        <v>64</v>
      </c>
      <c r="N8" s="11" t="s">
        <v>65</v>
      </c>
      <c r="O8" s="10"/>
      <c r="P8" s="12"/>
      <c r="Q8" s="13"/>
      <c r="R8" s="14"/>
      <c r="S8" s="6" t="s">
        <v>164</v>
      </c>
      <c r="T8" s="15"/>
      <c r="U8" s="16" t="s">
        <v>62</v>
      </c>
      <c r="V8" s="7">
        <v>12323099</v>
      </c>
    </row>
    <row r="9" spans="1:23" ht="30.6" x14ac:dyDescent="0.3">
      <c r="A9" s="17"/>
      <c r="B9" s="14" t="s">
        <v>63</v>
      </c>
      <c r="C9" s="14" t="s">
        <v>46</v>
      </c>
      <c r="D9" s="17" t="s">
        <v>46</v>
      </c>
      <c r="E9" s="17"/>
      <c r="F9" s="17"/>
      <c r="G9" s="17"/>
      <c r="H9" s="17"/>
      <c r="I9" s="17"/>
      <c r="J9" s="17"/>
      <c r="K9" s="17"/>
      <c r="L9" s="17"/>
      <c r="M9" s="10" t="s">
        <v>67</v>
      </c>
      <c r="N9" s="11" t="s">
        <v>68</v>
      </c>
      <c r="O9" s="10"/>
      <c r="P9" s="12"/>
      <c r="Q9" s="13"/>
      <c r="R9" s="14"/>
      <c r="S9" s="6" t="s">
        <v>164</v>
      </c>
      <c r="T9" s="15"/>
      <c r="U9" s="16" t="s">
        <v>62</v>
      </c>
      <c r="V9" s="7">
        <v>12323100</v>
      </c>
    </row>
    <row r="10" spans="1:23" x14ac:dyDescent="0.3">
      <c r="A10" s="17"/>
      <c r="B10" s="14" t="s">
        <v>63</v>
      </c>
      <c r="C10" s="14" t="s">
        <v>46</v>
      </c>
      <c r="D10" s="17" t="s">
        <v>46</v>
      </c>
      <c r="E10" s="17"/>
      <c r="F10" s="17"/>
      <c r="G10" s="17"/>
      <c r="H10" s="17"/>
      <c r="I10" s="17"/>
      <c r="J10" s="17"/>
      <c r="K10" s="17"/>
      <c r="L10" s="17"/>
      <c r="M10" s="10" t="s">
        <v>64</v>
      </c>
      <c r="N10" s="11" t="s">
        <v>65</v>
      </c>
      <c r="O10" s="10"/>
      <c r="P10" s="12"/>
      <c r="Q10" s="13"/>
      <c r="R10" s="14"/>
      <c r="S10" s="6" t="s">
        <v>165</v>
      </c>
      <c r="T10" s="15"/>
      <c r="U10" s="16" t="s">
        <v>62</v>
      </c>
      <c r="V10" s="7">
        <v>12323143</v>
      </c>
    </row>
    <row r="11" spans="1:23" x14ac:dyDescent="0.3">
      <c r="A11" s="17"/>
      <c r="B11" s="14" t="s">
        <v>63</v>
      </c>
      <c r="C11" s="14" t="s">
        <v>46</v>
      </c>
      <c r="D11" s="17" t="s">
        <v>46</v>
      </c>
      <c r="E11" s="17"/>
      <c r="F11" s="17"/>
      <c r="G11" s="17"/>
      <c r="H11" s="17"/>
      <c r="I11" s="17"/>
      <c r="J11" s="17"/>
      <c r="K11" s="17"/>
      <c r="L11" s="17"/>
      <c r="M11" s="10" t="s">
        <v>64</v>
      </c>
      <c r="N11" s="11" t="s">
        <v>65</v>
      </c>
      <c r="O11" s="10"/>
      <c r="P11" s="12"/>
      <c r="Q11" s="13"/>
      <c r="R11" s="14"/>
      <c r="S11" s="6" t="s">
        <v>166</v>
      </c>
      <c r="T11" s="15"/>
      <c r="U11" s="16" t="s">
        <v>62</v>
      </c>
      <c r="V11" s="7">
        <v>12323181</v>
      </c>
    </row>
    <row r="12" spans="1:23" ht="51" x14ac:dyDescent="0.3">
      <c r="A12" s="17"/>
      <c r="B12" s="14" t="s">
        <v>63</v>
      </c>
      <c r="C12" s="14" t="s">
        <v>46</v>
      </c>
      <c r="D12" s="17" t="s">
        <v>46</v>
      </c>
      <c r="E12" s="17"/>
      <c r="F12" s="17"/>
      <c r="G12" s="17"/>
      <c r="H12" s="17"/>
      <c r="I12" s="17"/>
      <c r="J12" s="17"/>
      <c r="K12" s="17"/>
      <c r="L12" s="17"/>
      <c r="M12" s="10" t="s">
        <v>159</v>
      </c>
      <c r="N12" s="11" t="s">
        <v>160</v>
      </c>
      <c r="O12" s="10"/>
      <c r="P12" s="12"/>
      <c r="Q12" s="13"/>
      <c r="R12" s="14"/>
      <c r="S12" s="6" t="s">
        <v>161</v>
      </c>
      <c r="T12" s="15"/>
      <c r="U12" s="16" t="s">
        <v>62</v>
      </c>
      <c r="V12" s="7">
        <v>12503768</v>
      </c>
    </row>
    <row r="13" spans="1:23" ht="30.6" x14ac:dyDescent="0.3">
      <c r="A13" s="17"/>
      <c r="B13" s="14" t="s">
        <v>63</v>
      </c>
      <c r="C13" s="14" t="s">
        <v>46</v>
      </c>
      <c r="D13" s="17" t="s">
        <v>46</v>
      </c>
      <c r="E13" s="17"/>
      <c r="F13" s="17"/>
      <c r="G13" s="17"/>
      <c r="H13" s="17"/>
      <c r="I13" s="17"/>
      <c r="J13" s="17"/>
      <c r="K13" s="17"/>
      <c r="L13" s="17"/>
      <c r="M13" s="10" t="s">
        <v>167</v>
      </c>
      <c r="N13" s="11" t="s">
        <v>168</v>
      </c>
      <c r="O13" s="10"/>
      <c r="P13" s="12"/>
      <c r="Q13" s="13"/>
      <c r="R13" s="14"/>
      <c r="S13" s="6" t="s">
        <v>169</v>
      </c>
      <c r="T13" s="15"/>
      <c r="U13" s="16" t="s">
        <v>62</v>
      </c>
      <c r="V13" s="7">
        <v>12504949</v>
      </c>
    </row>
    <row r="14" spans="1:23" ht="30.6" x14ac:dyDescent="0.3">
      <c r="A14" s="17"/>
      <c r="B14" s="14" t="s">
        <v>63</v>
      </c>
      <c r="C14" s="14" t="s">
        <v>46</v>
      </c>
      <c r="D14" s="17" t="s">
        <v>46</v>
      </c>
      <c r="E14" s="17"/>
      <c r="F14" s="17"/>
      <c r="G14" s="17"/>
      <c r="H14" s="17"/>
      <c r="I14" s="17"/>
      <c r="J14" s="17"/>
      <c r="K14" s="17"/>
      <c r="L14" s="17"/>
      <c r="M14" s="10" t="s">
        <v>170</v>
      </c>
      <c r="N14" s="11" t="s">
        <v>171</v>
      </c>
      <c r="O14" s="10"/>
      <c r="P14" s="12"/>
      <c r="Q14" s="13"/>
      <c r="R14" s="14"/>
      <c r="S14" s="6" t="s">
        <v>172</v>
      </c>
      <c r="T14" s="15"/>
      <c r="U14" s="16" t="s">
        <v>62</v>
      </c>
      <c r="V14" s="7">
        <v>12504957</v>
      </c>
    </row>
    <row r="15" spans="1:23" ht="30.6" x14ac:dyDescent="0.3">
      <c r="A15" s="17"/>
      <c r="B15" s="14" t="s">
        <v>63</v>
      </c>
      <c r="C15" s="14" t="s">
        <v>46</v>
      </c>
      <c r="D15" s="17" t="s">
        <v>46</v>
      </c>
      <c r="E15" s="17"/>
      <c r="F15" s="17"/>
      <c r="G15" s="17"/>
      <c r="H15" s="17"/>
      <c r="I15" s="17"/>
      <c r="J15" s="17"/>
      <c r="K15" s="17"/>
      <c r="L15" s="17"/>
      <c r="M15" s="10" t="s">
        <v>173</v>
      </c>
      <c r="N15" s="11" t="s">
        <v>174</v>
      </c>
      <c r="O15" s="10"/>
      <c r="P15" s="12"/>
      <c r="Q15" s="13"/>
      <c r="R15" s="14"/>
      <c r="S15" s="6" t="s">
        <v>175</v>
      </c>
      <c r="T15" s="15"/>
      <c r="U15" s="16" t="s">
        <v>62</v>
      </c>
      <c r="V15" s="7">
        <v>12504960</v>
      </c>
    </row>
    <row r="16" spans="1:23" ht="30.6" x14ac:dyDescent="0.3">
      <c r="A16" s="17"/>
      <c r="B16" s="14" t="s">
        <v>63</v>
      </c>
      <c r="C16" s="14" t="s">
        <v>46</v>
      </c>
      <c r="D16" s="17" t="s">
        <v>46</v>
      </c>
      <c r="E16" s="17"/>
      <c r="F16" s="17"/>
      <c r="G16" s="17"/>
      <c r="H16" s="17"/>
      <c r="I16" s="17"/>
      <c r="J16" s="17"/>
      <c r="K16" s="17"/>
      <c r="L16" s="17"/>
      <c r="M16" s="10" t="s">
        <v>176</v>
      </c>
      <c r="N16" s="11" t="s">
        <v>177</v>
      </c>
      <c r="O16" s="10"/>
      <c r="P16" s="12"/>
      <c r="Q16" s="13"/>
      <c r="R16" s="14"/>
      <c r="S16" s="6" t="s">
        <v>178</v>
      </c>
      <c r="T16" s="15"/>
      <c r="U16" s="16" t="s">
        <v>62</v>
      </c>
      <c r="V16" s="7">
        <v>12504964</v>
      </c>
    </row>
    <row r="17" spans="1:23" x14ac:dyDescent="0.3">
      <c r="A17" s="17"/>
      <c r="B17" s="14" t="s">
        <v>63</v>
      </c>
      <c r="C17" s="14" t="s">
        <v>46</v>
      </c>
      <c r="D17" s="17" t="s">
        <v>46</v>
      </c>
      <c r="E17" s="17"/>
      <c r="F17" s="17"/>
      <c r="G17" s="17"/>
      <c r="H17" s="17"/>
      <c r="I17" s="17"/>
      <c r="J17" s="17"/>
      <c r="K17" s="17"/>
      <c r="L17" s="17"/>
      <c r="M17" s="10" t="s">
        <v>179</v>
      </c>
      <c r="N17" s="11" t="s">
        <v>179</v>
      </c>
      <c r="O17" s="10"/>
      <c r="P17" s="12"/>
      <c r="Q17" s="13"/>
      <c r="R17" s="14"/>
      <c r="S17" s="6" t="s">
        <v>55</v>
      </c>
      <c r="T17" s="15"/>
      <c r="U17" s="16" t="s">
        <v>62</v>
      </c>
      <c r="V17" s="7">
        <v>12500203</v>
      </c>
      <c r="W17" s="10" t="s">
        <v>179</v>
      </c>
    </row>
    <row r="18" spans="1:23" x14ac:dyDescent="0.3">
      <c r="A18" s="17"/>
      <c r="B18" s="14" t="s">
        <v>63</v>
      </c>
      <c r="C18" s="14" t="s">
        <v>46</v>
      </c>
      <c r="D18" s="17" t="s">
        <v>46</v>
      </c>
      <c r="E18" s="17"/>
      <c r="F18" s="17"/>
      <c r="G18" s="17"/>
      <c r="H18" s="17"/>
      <c r="I18" s="17"/>
      <c r="J18" s="17"/>
      <c r="K18" s="17"/>
      <c r="L18" s="17"/>
      <c r="M18" s="10" t="s">
        <v>180</v>
      </c>
      <c r="N18" s="11" t="s">
        <v>180</v>
      </c>
      <c r="O18" s="10"/>
      <c r="P18" s="12"/>
      <c r="Q18" s="13"/>
      <c r="R18" s="14"/>
      <c r="S18" s="6" t="s">
        <v>181</v>
      </c>
      <c r="T18" s="15"/>
      <c r="U18" s="16" t="s">
        <v>62</v>
      </c>
      <c r="V18" s="7">
        <v>12500148</v>
      </c>
      <c r="W18" s="10" t="s">
        <v>180</v>
      </c>
    </row>
    <row r="19" spans="1:23" x14ac:dyDescent="0.3">
      <c r="A19" s="17"/>
      <c r="B19" s="14" t="s">
        <v>63</v>
      </c>
      <c r="C19" s="14" t="s">
        <v>46</v>
      </c>
      <c r="D19" s="17" t="s">
        <v>46</v>
      </c>
      <c r="E19" s="17"/>
      <c r="F19" s="17"/>
      <c r="G19" s="17"/>
      <c r="H19" s="17"/>
      <c r="I19" s="17"/>
      <c r="J19" s="17"/>
      <c r="K19" s="17"/>
      <c r="L19" s="17"/>
      <c r="M19" s="10" t="s">
        <v>182</v>
      </c>
      <c r="N19" s="11" t="s">
        <v>182</v>
      </c>
      <c r="O19" s="10"/>
      <c r="P19" s="12"/>
      <c r="Q19" s="13"/>
      <c r="R19" s="14"/>
      <c r="S19" s="6" t="s">
        <v>56</v>
      </c>
      <c r="T19" s="15"/>
      <c r="U19" s="16" t="s">
        <v>62</v>
      </c>
      <c r="V19" s="7">
        <v>12500156</v>
      </c>
      <c r="W19" s="10" t="s">
        <v>182</v>
      </c>
    </row>
    <row r="20" spans="1:23" x14ac:dyDescent="0.3">
      <c r="A20" s="17"/>
      <c r="B20" s="14" t="s">
        <v>63</v>
      </c>
      <c r="C20" s="14" t="s">
        <v>46</v>
      </c>
      <c r="D20" s="17" t="s">
        <v>46</v>
      </c>
      <c r="E20" s="17"/>
      <c r="F20" s="17"/>
      <c r="G20" s="17"/>
      <c r="H20" s="17"/>
      <c r="I20" s="17"/>
      <c r="J20" s="17"/>
      <c r="K20" s="17"/>
      <c r="L20" s="17"/>
      <c r="M20" s="10" t="s">
        <v>183</v>
      </c>
      <c r="N20" s="11" t="s">
        <v>183</v>
      </c>
      <c r="O20" s="10"/>
      <c r="P20" s="12"/>
      <c r="Q20" s="13"/>
      <c r="R20" s="14"/>
      <c r="S20" s="6" t="s">
        <v>184</v>
      </c>
      <c r="T20" s="15"/>
      <c r="U20" s="16" t="s">
        <v>62</v>
      </c>
      <c r="V20" s="7">
        <v>12498334</v>
      </c>
      <c r="W20" s="10" t="s">
        <v>183</v>
      </c>
    </row>
    <row r="21" spans="1:23" ht="30.6" x14ac:dyDescent="0.3">
      <c r="A21" s="17"/>
      <c r="B21" s="14" t="s">
        <v>63</v>
      </c>
      <c r="C21" s="14" t="s">
        <v>46</v>
      </c>
      <c r="D21" s="17" t="s">
        <v>46</v>
      </c>
      <c r="E21" s="17"/>
      <c r="F21" s="17"/>
      <c r="G21" s="17"/>
      <c r="H21" s="17"/>
      <c r="I21" s="17"/>
      <c r="J21" s="17"/>
      <c r="K21" s="17"/>
      <c r="L21" s="17"/>
      <c r="M21" s="10" t="s">
        <v>185</v>
      </c>
      <c r="N21" s="11" t="s">
        <v>186</v>
      </c>
      <c r="O21" s="10"/>
      <c r="P21" s="12"/>
      <c r="Q21" s="13"/>
      <c r="R21" s="14"/>
      <c r="S21" s="6" t="s">
        <v>184</v>
      </c>
      <c r="T21" s="15"/>
      <c r="U21" s="16" t="s">
        <v>62</v>
      </c>
      <c r="V21" s="7">
        <v>12500165</v>
      </c>
      <c r="W21" s="10" t="s">
        <v>185</v>
      </c>
    </row>
    <row r="22" spans="1:23" x14ac:dyDescent="0.3">
      <c r="A22" s="17"/>
      <c r="B22" s="14" t="s">
        <v>63</v>
      </c>
      <c r="C22" s="14" t="s">
        <v>46</v>
      </c>
      <c r="D22" s="17" t="s">
        <v>46</v>
      </c>
      <c r="E22" s="17"/>
      <c r="F22" s="17"/>
      <c r="G22" s="17"/>
      <c r="H22" s="17"/>
      <c r="I22" s="17"/>
      <c r="J22" s="17"/>
      <c r="K22" s="17"/>
      <c r="L22" s="17"/>
      <c r="M22" s="10" t="s">
        <v>187</v>
      </c>
      <c r="N22" s="11" t="s">
        <v>187</v>
      </c>
      <c r="O22" s="10"/>
      <c r="P22" s="12"/>
      <c r="Q22" s="13"/>
      <c r="R22" s="14"/>
      <c r="S22" s="6" t="s">
        <v>188</v>
      </c>
      <c r="T22" s="15"/>
      <c r="U22" s="16" t="s">
        <v>62</v>
      </c>
      <c r="V22" s="7">
        <v>12500170</v>
      </c>
      <c r="W22" s="10" t="s">
        <v>187</v>
      </c>
    </row>
    <row r="23" spans="1:23" ht="20.399999999999999" x14ac:dyDescent="0.3">
      <c r="A23" s="17"/>
      <c r="B23" s="14" t="s">
        <v>63</v>
      </c>
      <c r="C23" s="14" t="s">
        <v>46</v>
      </c>
      <c r="D23" s="17" t="s">
        <v>46</v>
      </c>
      <c r="E23" s="17"/>
      <c r="F23" s="17"/>
      <c r="G23" s="17"/>
      <c r="H23" s="17"/>
      <c r="I23" s="17"/>
      <c r="J23" s="17"/>
      <c r="K23" s="17"/>
      <c r="L23" s="17"/>
      <c r="M23" s="10" t="s">
        <v>189</v>
      </c>
      <c r="N23" s="11" t="s">
        <v>190</v>
      </c>
      <c r="O23" s="10"/>
      <c r="P23" s="12"/>
      <c r="Q23" s="13"/>
      <c r="R23" s="14"/>
      <c r="S23" s="6" t="s">
        <v>191</v>
      </c>
      <c r="T23" s="15"/>
      <c r="U23" s="16" t="s">
        <v>192</v>
      </c>
      <c r="V23" s="7">
        <v>12500818</v>
      </c>
    </row>
    <row r="24" spans="1:23" x14ac:dyDescent="0.3">
      <c r="A24" s="17"/>
      <c r="B24" s="14" t="s">
        <v>63</v>
      </c>
      <c r="C24" s="14" t="s">
        <v>46</v>
      </c>
      <c r="D24" s="17" t="s">
        <v>46</v>
      </c>
      <c r="E24" s="17"/>
      <c r="F24" s="17"/>
      <c r="G24" s="17"/>
      <c r="H24" s="17"/>
      <c r="I24" s="17"/>
      <c r="J24" s="17"/>
      <c r="K24" s="17"/>
      <c r="L24" s="17"/>
      <c r="M24" s="10" t="s">
        <v>70</v>
      </c>
      <c r="N24" s="11" t="s">
        <v>70</v>
      </c>
      <c r="O24" s="10"/>
      <c r="P24" s="12"/>
      <c r="Q24" s="13"/>
      <c r="R24" s="14"/>
      <c r="S24" s="6" t="s">
        <v>193</v>
      </c>
      <c r="T24" s="15"/>
      <c r="U24" s="16" t="s">
        <v>62</v>
      </c>
      <c r="V24" s="7">
        <v>12322986</v>
      </c>
    </row>
    <row r="25" spans="1:23" x14ac:dyDescent="0.3">
      <c r="A25" s="17"/>
      <c r="B25" s="14" t="s">
        <v>63</v>
      </c>
      <c r="C25" s="14" t="s">
        <v>46</v>
      </c>
      <c r="D25" s="17" t="s">
        <v>46</v>
      </c>
      <c r="E25" s="17"/>
      <c r="F25" s="17"/>
      <c r="G25" s="17"/>
      <c r="H25" s="17"/>
      <c r="I25" s="17"/>
      <c r="J25" s="17"/>
      <c r="K25" s="17"/>
      <c r="L25" s="17"/>
      <c r="M25" s="10" t="s">
        <v>70</v>
      </c>
      <c r="N25" s="11" t="s">
        <v>70</v>
      </c>
      <c r="O25" s="10"/>
      <c r="P25" s="12"/>
      <c r="Q25" s="13"/>
      <c r="R25" s="14"/>
      <c r="S25" s="6" t="s">
        <v>194</v>
      </c>
      <c r="T25" s="15"/>
      <c r="U25" s="16" t="s">
        <v>62</v>
      </c>
      <c r="V25" s="7">
        <v>12322957</v>
      </c>
    </row>
    <row r="26" spans="1:23" ht="30.6" x14ac:dyDescent="0.3">
      <c r="A26" s="17" t="s">
        <v>63</v>
      </c>
      <c r="B26" s="14"/>
      <c r="C26" s="14"/>
      <c r="D26" s="17"/>
      <c r="E26" s="17"/>
      <c r="F26" s="17"/>
      <c r="G26" s="17"/>
      <c r="H26" s="17"/>
      <c r="I26" s="17"/>
      <c r="J26" s="17"/>
      <c r="K26" s="17"/>
      <c r="L26" s="17"/>
      <c r="M26" s="10" t="s">
        <v>195</v>
      </c>
      <c r="N26" s="11" t="s">
        <v>196</v>
      </c>
      <c r="O26" s="10"/>
      <c r="P26" s="12"/>
      <c r="Q26" s="13"/>
      <c r="R26" s="14"/>
      <c r="S26" s="6" t="s">
        <v>197</v>
      </c>
      <c r="T26" s="15"/>
      <c r="U26" s="16" t="s">
        <v>62</v>
      </c>
      <c r="V26" s="7">
        <v>12505492</v>
      </c>
      <c r="W26" s="10" t="s">
        <v>195</v>
      </c>
    </row>
    <row r="27" spans="1:23" x14ac:dyDescent="0.3">
      <c r="A27" s="17"/>
      <c r="B27" s="14" t="s">
        <v>63</v>
      </c>
      <c r="C27" s="14"/>
      <c r="D27" s="17"/>
      <c r="E27" s="17"/>
      <c r="F27" s="17"/>
      <c r="G27" s="17"/>
      <c r="H27" s="17"/>
      <c r="I27" s="17"/>
      <c r="J27" s="17"/>
      <c r="K27" s="17"/>
      <c r="L27" s="17"/>
      <c r="M27" s="10" t="s">
        <v>64</v>
      </c>
      <c r="N27" s="11" t="s">
        <v>65</v>
      </c>
      <c r="O27" s="10"/>
      <c r="P27" s="12"/>
      <c r="Q27" s="13"/>
      <c r="R27" s="14"/>
      <c r="S27" s="6" t="s">
        <v>198</v>
      </c>
      <c r="T27" s="15"/>
      <c r="U27" s="16" t="s">
        <v>62</v>
      </c>
      <c r="V27" s="7">
        <v>12323285</v>
      </c>
    </row>
    <row r="28" spans="1:23" x14ac:dyDescent="0.3">
      <c r="A28" s="17"/>
      <c r="B28" s="14" t="s">
        <v>63</v>
      </c>
      <c r="C28" s="14"/>
      <c r="D28" s="17"/>
      <c r="E28" s="17"/>
      <c r="F28" s="17"/>
      <c r="G28" s="17"/>
      <c r="H28" s="17"/>
      <c r="I28" s="17"/>
      <c r="J28" s="17"/>
      <c r="K28" s="17"/>
      <c r="L28" s="17"/>
      <c r="M28" s="10" t="s">
        <v>64</v>
      </c>
      <c r="N28" s="11" t="s">
        <v>65</v>
      </c>
      <c r="O28" s="10"/>
      <c r="P28" s="12"/>
      <c r="Q28" s="13"/>
      <c r="R28" s="14"/>
      <c r="S28" s="6" t="s">
        <v>199</v>
      </c>
      <c r="T28" s="15"/>
      <c r="U28" s="16" t="s">
        <v>62</v>
      </c>
      <c r="V28" s="7">
        <v>12323302</v>
      </c>
    </row>
    <row r="29" spans="1:23" ht="30.6" x14ac:dyDescent="0.3">
      <c r="A29" s="17"/>
      <c r="B29" s="14" t="s">
        <v>63</v>
      </c>
      <c r="C29" s="14"/>
      <c r="D29" s="17"/>
      <c r="E29" s="17"/>
      <c r="F29" s="17"/>
      <c r="G29" s="17"/>
      <c r="H29" s="17"/>
      <c r="I29" s="17"/>
      <c r="J29" s="17"/>
      <c r="K29" s="17"/>
      <c r="L29" s="17"/>
      <c r="M29" s="10" t="s">
        <v>200</v>
      </c>
      <c r="N29" s="11" t="s">
        <v>201</v>
      </c>
      <c r="O29" s="10"/>
      <c r="P29" s="12"/>
      <c r="Q29" s="13"/>
      <c r="R29" s="14"/>
      <c r="S29" s="6" t="s">
        <v>202</v>
      </c>
      <c r="T29" s="15"/>
      <c r="U29" s="16" t="s">
        <v>62</v>
      </c>
      <c r="V29" s="7">
        <v>12504972</v>
      </c>
    </row>
    <row r="30" spans="1:23" ht="30.6" x14ac:dyDescent="0.3">
      <c r="A30" s="17"/>
      <c r="B30" s="14" t="s">
        <v>63</v>
      </c>
      <c r="C30" s="14"/>
      <c r="D30" s="17"/>
      <c r="E30" s="17"/>
      <c r="F30" s="17"/>
      <c r="G30" s="17"/>
      <c r="H30" s="17"/>
      <c r="I30" s="17"/>
      <c r="J30" s="17"/>
      <c r="K30" s="17"/>
      <c r="L30" s="17"/>
      <c r="M30" s="10" t="s">
        <v>203</v>
      </c>
      <c r="N30" s="11" t="s">
        <v>204</v>
      </c>
      <c r="O30" s="10"/>
      <c r="P30" s="12"/>
      <c r="Q30" s="13"/>
      <c r="R30" s="14"/>
      <c r="S30" s="6" t="s">
        <v>205</v>
      </c>
      <c r="T30" s="15"/>
      <c r="U30" s="16" t="s">
        <v>62</v>
      </c>
      <c r="V30" s="7">
        <v>12504974</v>
      </c>
    </row>
    <row r="31" spans="1:23" ht="30.6" x14ac:dyDescent="0.3">
      <c r="A31" s="17"/>
      <c r="B31" s="14" t="s">
        <v>63</v>
      </c>
      <c r="C31" s="14"/>
      <c r="D31" s="17"/>
      <c r="E31" s="17"/>
      <c r="F31" s="17"/>
      <c r="G31" s="17"/>
      <c r="H31" s="17"/>
      <c r="I31" s="17"/>
      <c r="J31" s="17"/>
      <c r="K31" s="17"/>
      <c r="L31" s="17"/>
      <c r="M31" s="10" t="s">
        <v>206</v>
      </c>
      <c r="N31" s="11" t="s">
        <v>207</v>
      </c>
      <c r="O31" s="10"/>
      <c r="P31" s="12"/>
      <c r="Q31" s="13"/>
      <c r="R31" s="14"/>
      <c r="S31" s="6" t="s">
        <v>208</v>
      </c>
      <c r="T31" s="15"/>
      <c r="U31" s="16" t="s">
        <v>62</v>
      </c>
      <c r="V31" s="7">
        <v>12504975</v>
      </c>
    </row>
    <row r="32" spans="1:23" ht="30.6" x14ac:dyDescent="0.3">
      <c r="A32" s="17"/>
      <c r="B32" s="14" t="s">
        <v>63</v>
      </c>
      <c r="C32" s="14"/>
      <c r="D32" s="17"/>
      <c r="E32" s="17"/>
      <c r="F32" s="17"/>
      <c r="G32" s="17"/>
      <c r="H32" s="17"/>
      <c r="I32" s="17"/>
      <c r="J32" s="17"/>
      <c r="K32" s="17"/>
      <c r="L32" s="17"/>
      <c r="M32" s="10" t="s">
        <v>209</v>
      </c>
      <c r="N32" s="11" t="s">
        <v>210</v>
      </c>
      <c r="O32" s="10"/>
      <c r="P32" s="12"/>
      <c r="Q32" s="13"/>
      <c r="R32" s="14"/>
      <c r="S32" s="6" t="s">
        <v>211</v>
      </c>
      <c r="T32" s="15"/>
      <c r="U32" s="16" t="s">
        <v>62</v>
      </c>
      <c r="V32" s="7">
        <v>12504982</v>
      </c>
    </row>
    <row r="33" spans="1:23" ht="51" x14ac:dyDescent="0.3">
      <c r="A33" s="17"/>
      <c r="B33" s="14" t="s">
        <v>63</v>
      </c>
      <c r="C33" s="14"/>
      <c r="D33" s="17"/>
      <c r="E33" s="17"/>
      <c r="F33" s="17"/>
      <c r="G33" s="17"/>
      <c r="H33" s="17"/>
      <c r="I33" s="17"/>
      <c r="J33" s="17"/>
      <c r="K33" s="17"/>
      <c r="L33" s="17"/>
      <c r="M33" s="10" t="s">
        <v>212</v>
      </c>
      <c r="N33" s="11" t="s">
        <v>213</v>
      </c>
      <c r="O33" s="10"/>
      <c r="P33" s="12"/>
      <c r="Q33" s="13"/>
      <c r="R33" s="14"/>
      <c r="S33" s="6" t="s">
        <v>211</v>
      </c>
      <c r="T33" s="15"/>
      <c r="U33" s="16" t="s">
        <v>62</v>
      </c>
      <c r="V33" s="7">
        <v>12504984</v>
      </c>
    </row>
    <row r="34" spans="1:23" ht="51" x14ac:dyDescent="0.3">
      <c r="A34" s="17"/>
      <c r="B34" s="14" t="s">
        <v>63</v>
      </c>
      <c r="C34" s="14"/>
      <c r="D34" s="17"/>
      <c r="E34" s="17"/>
      <c r="F34" s="17"/>
      <c r="G34" s="17"/>
      <c r="H34" s="17"/>
      <c r="I34" s="17"/>
      <c r="J34" s="17"/>
      <c r="K34" s="17"/>
      <c r="L34" s="17"/>
      <c r="M34" s="10" t="s">
        <v>214</v>
      </c>
      <c r="N34" s="11" t="s">
        <v>215</v>
      </c>
      <c r="O34" s="10"/>
      <c r="P34" s="12"/>
      <c r="Q34" s="13"/>
      <c r="R34" s="14"/>
      <c r="S34" s="6" t="s">
        <v>202</v>
      </c>
      <c r="T34" s="15"/>
      <c r="U34" s="16" t="s">
        <v>62</v>
      </c>
      <c r="V34" s="7">
        <v>12504985</v>
      </c>
    </row>
    <row r="35" spans="1:23" x14ac:dyDescent="0.3">
      <c r="A35" s="17"/>
      <c r="B35" s="14" t="s">
        <v>63</v>
      </c>
      <c r="C35" s="14"/>
      <c r="D35" s="17"/>
      <c r="E35" s="17"/>
      <c r="F35" s="17"/>
      <c r="G35" s="17"/>
      <c r="H35" s="17"/>
      <c r="I35" s="17"/>
      <c r="J35" s="17"/>
      <c r="K35" s="17"/>
      <c r="L35" s="17"/>
      <c r="M35" s="10" t="s">
        <v>187</v>
      </c>
      <c r="N35" s="11" t="s">
        <v>187</v>
      </c>
      <c r="O35" s="10"/>
      <c r="P35" s="12"/>
      <c r="Q35" s="13"/>
      <c r="R35" s="14"/>
      <c r="S35" s="6" t="s">
        <v>188</v>
      </c>
      <c r="T35" s="15"/>
      <c r="U35" s="16" t="s">
        <v>62</v>
      </c>
      <c r="V35" s="7">
        <v>12500170</v>
      </c>
      <c r="W35" s="10" t="s">
        <v>187</v>
      </c>
    </row>
    <row r="36" spans="1:23" x14ac:dyDescent="0.3">
      <c r="A36" s="17"/>
      <c r="B36" s="14" t="s">
        <v>63</v>
      </c>
      <c r="C36" s="14"/>
      <c r="D36" s="17"/>
      <c r="E36" s="17"/>
      <c r="F36" s="17"/>
      <c r="G36" s="17"/>
      <c r="H36" s="17"/>
      <c r="I36" s="17"/>
      <c r="J36" s="17"/>
      <c r="K36" s="17"/>
      <c r="L36" s="17"/>
      <c r="M36" s="10" t="s">
        <v>64</v>
      </c>
      <c r="N36" s="11" t="s">
        <v>65</v>
      </c>
      <c r="O36" s="10"/>
      <c r="P36" s="12"/>
      <c r="Q36" s="13"/>
      <c r="R36" s="14"/>
      <c r="S36" s="6" t="s">
        <v>216</v>
      </c>
      <c r="T36" s="15"/>
      <c r="U36" s="16" t="s">
        <v>62</v>
      </c>
      <c r="V36" s="7">
        <v>12325271</v>
      </c>
    </row>
    <row r="37" spans="1:23" ht="30.6" x14ac:dyDescent="0.3">
      <c r="A37" s="17" t="s">
        <v>63</v>
      </c>
      <c r="B37" s="14"/>
      <c r="C37" s="14"/>
      <c r="D37" s="17"/>
      <c r="E37" s="17"/>
      <c r="F37" s="17"/>
      <c r="G37" s="17"/>
      <c r="H37" s="17"/>
      <c r="I37" s="17"/>
      <c r="J37" s="17"/>
      <c r="K37" s="17"/>
      <c r="L37" s="17"/>
      <c r="M37" s="10" t="s">
        <v>217</v>
      </c>
      <c r="N37" s="11" t="s">
        <v>218</v>
      </c>
      <c r="O37" s="10"/>
      <c r="P37" s="12"/>
      <c r="Q37" s="13"/>
      <c r="R37" s="14"/>
      <c r="S37" s="6" t="s">
        <v>219</v>
      </c>
      <c r="T37" s="15"/>
      <c r="U37" s="16" t="s">
        <v>62</v>
      </c>
      <c r="V37" s="7">
        <v>12509801</v>
      </c>
      <c r="W37" s="10" t="s">
        <v>217</v>
      </c>
    </row>
    <row r="38" spans="1:23" x14ac:dyDescent="0.3">
      <c r="A38" s="17"/>
      <c r="B38" s="14" t="s">
        <v>63</v>
      </c>
      <c r="C38" s="14"/>
      <c r="D38" s="17"/>
      <c r="E38" s="17"/>
      <c r="F38" s="17"/>
      <c r="G38" s="17"/>
      <c r="H38" s="17"/>
      <c r="I38" s="17"/>
      <c r="J38" s="17"/>
      <c r="K38" s="17"/>
      <c r="L38" s="17"/>
      <c r="M38" s="10" t="s">
        <v>64</v>
      </c>
      <c r="N38" s="11" t="s">
        <v>65</v>
      </c>
      <c r="O38" s="10"/>
      <c r="P38" s="12"/>
      <c r="Q38" s="13"/>
      <c r="R38" s="14"/>
      <c r="S38" s="6" t="s">
        <v>164</v>
      </c>
      <c r="T38" s="15"/>
      <c r="U38" s="16" t="s">
        <v>62</v>
      </c>
      <c r="V38" s="7">
        <v>12323099</v>
      </c>
    </row>
    <row r="39" spans="1:23" ht="30.6" x14ac:dyDescent="0.3">
      <c r="A39" s="17"/>
      <c r="B39" s="14" t="s">
        <v>63</v>
      </c>
      <c r="C39" s="14"/>
      <c r="D39" s="17"/>
      <c r="E39" s="17"/>
      <c r="F39" s="17"/>
      <c r="G39" s="17"/>
      <c r="H39" s="17"/>
      <c r="I39" s="17"/>
      <c r="J39" s="17"/>
      <c r="K39" s="17"/>
      <c r="L39" s="17"/>
      <c r="M39" s="10" t="s">
        <v>67</v>
      </c>
      <c r="N39" s="11" t="s">
        <v>68</v>
      </c>
      <c r="O39" s="10"/>
      <c r="P39" s="12"/>
      <c r="Q39" s="13"/>
      <c r="R39" s="14"/>
      <c r="S39" s="6" t="s">
        <v>164</v>
      </c>
      <c r="T39" s="15"/>
      <c r="U39" s="16" t="s">
        <v>62</v>
      </c>
      <c r="V39" s="7">
        <v>12323100</v>
      </c>
    </row>
    <row r="40" spans="1:23" x14ac:dyDescent="0.3">
      <c r="A40" s="17"/>
      <c r="B40" s="14" t="s">
        <v>63</v>
      </c>
      <c r="C40" s="14"/>
      <c r="D40" s="17"/>
      <c r="E40" s="17"/>
      <c r="F40" s="17"/>
      <c r="G40" s="17"/>
      <c r="H40" s="17"/>
      <c r="I40" s="17"/>
      <c r="J40" s="17"/>
      <c r="K40" s="17"/>
      <c r="L40" s="17"/>
      <c r="M40" s="10" t="s">
        <v>70</v>
      </c>
      <c r="N40" s="11" t="s">
        <v>70</v>
      </c>
      <c r="O40" s="10"/>
      <c r="P40" s="12"/>
      <c r="Q40" s="13"/>
      <c r="R40" s="14"/>
      <c r="S40" s="6" t="s">
        <v>220</v>
      </c>
      <c r="T40" s="15"/>
      <c r="U40" s="16" t="s">
        <v>62</v>
      </c>
      <c r="V40" s="7">
        <v>12513329</v>
      </c>
    </row>
    <row r="41" spans="1:23" x14ac:dyDescent="0.3">
      <c r="A41" s="17"/>
      <c r="B41" s="14" t="s">
        <v>63</v>
      </c>
      <c r="C41" s="14"/>
      <c r="D41" s="17"/>
      <c r="E41" s="17"/>
      <c r="F41" s="17"/>
      <c r="G41" s="17"/>
      <c r="H41" s="17"/>
      <c r="I41" s="17"/>
      <c r="J41" s="17"/>
      <c r="K41" s="17"/>
      <c r="L41" s="17"/>
      <c r="M41" s="10" t="s">
        <v>187</v>
      </c>
      <c r="N41" s="11" t="s">
        <v>187</v>
      </c>
      <c r="O41" s="10"/>
      <c r="P41" s="12"/>
      <c r="Q41" s="13"/>
      <c r="R41" s="14"/>
      <c r="S41" s="6" t="s">
        <v>188</v>
      </c>
      <c r="T41" s="15"/>
      <c r="U41" s="16" t="s">
        <v>62</v>
      </c>
      <c r="V41" s="7">
        <v>12500170</v>
      </c>
    </row>
    <row r="42" spans="1:23" x14ac:dyDescent="0.3">
      <c r="A42" s="17"/>
      <c r="B42" s="14" t="s">
        <v>63</v>
      </c>
      <c r="C42" s="14"/>
      <c r="D42" s="17"/>
      <c r="E42" s="17"/>
      <c r="F42" s="17"/>
      <c r="G42" s="17"/>
      <c r="H42" s="17"/>
      <c r="I42" s="17"/>
      <c r="J42" s="17"/>
      <c r="K42" s="17"/>
      <c r="L42" s="17"/>
      <c r="M42" s="10" t="s">
        <v>64</v>
      </c>
      <c r="N42" s="11" t="s">
        <v>65</v>
      </c>
      <c r="O42" s="10"/>
      <c r="P42" s="12"/>
      <c r="Q42" s="13"/>
      <c r="R42" s="14"/>
      <c r="S42" s="6" t="s">
        <v>162</v>
      </c>
      <c r="T42" s="15"/>
      <c r="U42" s="16" t="s">
        <v>62</v>
      </c>
      <c r="V42" s="7">
        <v>12323041</v>
      </c>
    </row>
    <row r="43" spans="1:23" ht="30.6" x14ac:dyDescent="0.3">
      <c r="A43" s="17"/>
      <c r="B43" s="14" t="s">
        <v>63</v>
      </c>
      <c r="C43" s="14"/>
      <c r="D43" s="17"/>
      <c r="E43" s="17"/>
      <c r="F43" s="17"/>
      <c r="G43" s="17"/>
      <c r="H43" s="17"/>
      <c r="I43" s="17"/>
      <c r="J43" s="17"/>
      <c r="K43" s="17"/>
      <c r="L43" s="17"/>
      <c r="M43" s="10" t="s">
        <v>67</v>
      </c>
      <c r="N43" s="11" t="s">
        <v>68</v>
      </c>
      <c r="O43" s="10"/>
      <c r="P43" s="12"/>
      <c r="Q43" s="13"/>
      <c r="R43" s="14"/>
      <c r="S43" s="6" t="s">
        <v>162</v>
      </c>
      <c r="T43" s="15"/>
      <c r="U43" s="16" t="s">
        <v>62</v>
      </c>
      <c r="V43" s="7">
        <v>12323042</v>
      </c>
    </row>
    <row r="44" spans="1:23" x14ac:dyDescent="0.3">
      <c r="A44" s="17"/>
      <c r="B44" s="14" t="s">
        <v>63</v>
      </c>
      <c r="C44" s="14"/>
      <c r="D44" s="17"/>
      <c r="E44" s="17"/>
      <c r="F44" s="17"/>
      <c r="G44" s="17"/>
      <c r="H44" s="17"/>
      <c r="I44" s="17"/>
      <c r="J44" s="17"/>
      <c r="K44" s="17"/>
      <c r="L44" s="17"/>
      <c r="M44" s="10" t="s">
        <v>64</v>
      </c>
      <c r="N44" s="11" t="s">
        <v>65</v>
      </c>
      <c r="O44" s="10"/>
      <c r="P44" s="12"/>
      <c r="Q44" s="13"/>
      <c r="R44" s="14"/>
      <c r="S44" s="6" t="s">
        <v>163</v>
      </c>
      <c r="T44" s="15"/>
      <c r="U44" s="16" t="s">
        <v>62</v>
      </c>
      <c r="V44" s="7">
        <v>12323068</v>
      </c>
    </row>
    <row r="45" spans="1:23" x14ac:dyDescent="0.3">
      <c r="A45" s="17"/>
      <c r="B45" s="14" t="s">
        <v>63</v>
      </c>
      <c r="C45" s="14"/>
      <c r="D45" s="17"/>
      <c r="E45" s="17"/>
      <c r="F45" s="17"/>
      <c r="G45" s="17"/>
      <c r="H45" s="17"/>
      <c r="I45" s="17"/>
      <c r="J45" s="17"/>
      <c r="K45" s="17"/>
      <c r="L45" s="17"/>
      <c r="M45" s="10" t="s">
        <v>64</v>
      </c>
      <c r="N45" s="11" t="s">
        <v>65</v>
      </c>
      <c r="O45" s="10"/>
      <c r="P45" s="12"/>
      <c r="Q45" s="13"/>
      <c r="R45" s="14"/>
      <c r="S45" s="6" t="s">
        <v>165</v>
      </c>
      <c r="T45" s="15"/>
      <c r="U45" s="16" t="s">
        <v>62</v>
      </c>
      <c r="V45" s="7">
        <v>12323143</v>
      </c>
    </row>
    <row r="46" spans="1:23" x14ac:dyDescent="0.3">
      <c r="A46" s="17"/>
      <c r="B46" s="14" t="s">
        <v>63</v>
      </c>
      <c r="C46" s="14"/>
      <c r="D46" s="17"/>
      <c r="E46" s="17"/>
      <c r="F46" s="17"/>
      <c r="G46" s="17"/>
      <c r="H46" s="17"/>
      <c r="I46" s="17"/>
      <c r="J46" s="17"/>
      <c r="K46" s="17"/>
      <c r="L46" s="17"/>
      <c r="M46" s="10" t="s">
        <v>64</v>
      </c>
      <c r="N46" s="11" t="s">
        <v>65</v>
      </c>
      <c r="O46" s="10"/>
      <c r="P46" s="12"/>
      <c r="Q46" s="13"/>
      <c r="R46" s="14"/>
      <c r="S46" s="6" t="s">
        <v>166</v>
      </c>
      <c r="T46" s="15"/>
      <c r="U46" s="16" t="s">
        <v>62</v>
      </c>
      <c r="V46" s="7">
        <v>12323181</v>
      </c>
    </row>
    <row r="47" spans="1:23" ht="51" x14ac:dyDescent="0.3">
      <c r="A47" s="17"/>
      <c r="B47" s="14" t="s">
        <v>63</v>
      </c>
      <c r="C47" s="14"/>
      <c r="D47" s="17"/>
      <c r="E47" s="17"/>
      <c r="F47" s="17"/>
      <c r="G47" s="17"/>
      <c r="H47" s="17"/>
      <c r="I47" s="17"/>
      <c r="J47" s="17"/>
      <c r="K47" s="17"/>
      <c r="L47" s="17"/>
      <c r="M47" s="10" t="s">
        <v>221</v>
      </c>
      <c r="N47" s="11" t="s">
        <v>222</v>
      </c>
      <c r="O47" s="10"/>
      <c r="P47" s="12"/>
      <c r="Q47" s="13"/>
      <c r="R47" s="14"/>
      <c r="S47" s="6" t="s">
        <v>178</v>
      </c>
      <c r="T47" s="15"/>
      <c r="U47" s="16" t="s">
        <v>62</v>
      </c>
      <c r="V47" s="7">
        <v>12504996</v>
      </c>
    </row>
    <row r="48" spans="1:23" x14ac:dyDescent="0.3">
      <c r="A48" s="17"/>
      <c r="B48" s="14" t="s">
        <v>63</v>
      </c>
      <c r="C48" s="14"/>
      <c r="D48" s="17"/>
      <c r="E48" s="17"/>
      <c r="F48" s="17"/>
      <c r="G48" s="17"/>
      <c r="H48" s="17"/>
      <c r="I48" s="17"/>
      <c r="J48" s="17"/>
      <c r="K48" s="17"/>
      <c r="L48" s="17"/>
      <c r="M48" s="10" t="s">
        <v>180</v>
      </c>
      <c r="N48" s="11" t="s">
        <v>180</v>
      </c>
      <c r="O48" s="10"/>
      <c r="P48" s="12"/>
      <c r="Q48" s="13"/>
      <c r="R48" s="14"/>
      <c r="S48" s="6" t="s">
        <v>181</v>
      </c>
      <c r="T48" s="15"/>
      <c r="U48" s="16" t="s">
        <v>62</v>
      </c>
      <c r="V48" s="7">
        <v>12500152</v>
      </c>
      <c r="W48" s="10" t="s">
        <v>180</v>
      </c>
    </row>
    <row r="49" spans="1:23" ht="30.6" x14ac:dyDescent="0.3">
      <c r="A49" s="17"/>
      <c r="B49" s="14" t="s">
        <v>63</v>
      </c>
      <c r="C49" s="14"/>
      <c r="D49" s="17"/>
      <c r="E49" s="17"/>
      <c r="F49" s="17"/>
      <c r="G49" s="17"/>
      <c r="H49" s="17"/>
      <c r="I49" s="17"/>
      <c r="J49" s="17"/>
      <c r="K49" s="17"/>
      <c r="L49" s="17"/>
      <c r="M49" s="10" t="s">
        <v>173</v>
      </c>
      <c r="N49" s="11" t="s">
        <v>174</v>
      </c>
      <c r="O49" s="10"/>
      <c r="P49" s="12"/>
      <c r="Q49" s="13"/>
      <c r="R49" s="14"/>
      <c r="S49" s="6" t="s">
        <v>175</v>
      </c>
      <c r="T49" s="15"/>
      <c r="U49" s="16" t="s">
        <v>62</v>
      </c>
      <c r="V49" s="7">
        <v>12504960</v>
      </c>
    </row>
    <row r="50" spans="1:23" ht="30.6" x14ac:dyDescent="0.3">
      <c r="A50" s="17"/>
      <c r="B50" s="14" t="s">
        <v>63</v>
      </c>
      <c r="C50" s="14"/>
      <c r="D50" s="17"/>
      <c r="E50" s="17"/>
      <c r="F50" s="17"/>
      <c r="G50" s="17"/>
      <c r="H50" s="17"/>
      <c r="I50" s="17"/>
      <c r="J50" s="17"/>
      <c r="K50" s="17"/>
      <c r="L50" s="17"/>
      <c r="M50" s="10" t="s">
        <v>141</v>
      </c>
      <c r="N50" s="11" t="s">
        <v>140</v>
      </c>
      <c r="O50" s="10"/>
      <c r="P50" s="12"/>
      <c r="Q50" s="13"/>
      <c r="R50" s="14"/>
      <c r="S50" s="6" t="s">
        <v>193</v>
      </c>
      <c r="T50" s="15"/>
      <c r="U50" s="16" t="s">
        <v>62</v>
      </c>
      <c r="V50" s="7">
        <v>12323238</v>
      </c>
    </row>
    <row r="51" spans="1:23" x14ac:dyDescent="0.3">
      <c r="A51" s="17"/>
      <c r="B51" s="14" t="s">
        <v>63</v>
      </c>
      <c r="C51" s="14"/>
      <c r="D51" s="17"/>
      <c r="E51" s="17"/>
      <c r="F51" s="17"/>
      <c r="G51" s="17"/>
      <c r="H51" s="17"/>
      <c r="I51" s="17"/>
      <c r="J51" s="17"/>
      <c r="K51" s="17"/>
      <c r="L51" s="17"/>
      <c r="M51" s="10" t="s">
        <v>70</v>
      </c>
      <c r="N51" s="11" t="s">
        <v>70</v>
      </c>
      <c r="O51" s="10"/>
      <c r="P51" s="12"/>
      <c r="Q51" s="13"/>
      <c r="R51" s="14"/>
      <c r="S51" s="6" t="s">
        <v>223</v>
      </c>
      <c r="T51" s="15"/>
      <c r="U51" s="16" t="s">
        <v>62</v>
      </c>
      <c r="V51" s="7">
        <v>12323250</v>
      </c>
    </row>
    <row r="52" spans="1:23" ht="30.6" x14ac:dyDescent="0.3">
      <c r="A52" s="17"/>
      <c r="B52" s="14" t="s">
        <v>63</v>
      </c>
      <c r="C52" s="14"/>
      <c r="D52" s="17"/>
      <c r="E52" s="17"/>
      <c r="F52" s="17"/>
      <c r="G52" s="17"/>
      <c r="H52" s="17"/>
      <c r="I52" s="17"/>
      <c r="J52" s="17"/>
      <c r="K52" s="17"/>
      <c r="L52" s="17"/>
      <c r="M52" s="10" t="s">
        <v>141</v>
      </c>
      <c r="N52" s="11" t="s">
        <v>140</v>
      </c>
      <c r="O52" s="10"/>
      <c r="P52" s="12"/>
      <c r="Q52" s="13"/>
      <c r="R52" s="14"/>
      <c r="S52" s="6" t="s">
        <v>157</v>
      </c>
      <c r="T52" s="15"/>
      <c r="U52" s="16" t="s">
        <v>62</v>
      </c>
      <c r="V52" s="7">
        <v>12323444</v>
      </c>
    </row>
    <row r="53" spans="1:23" x14ac:dyDescent="0.3">
      <c r="A53" s="17"/>
      <c r="B53" s="14" t="s">
        <v>63</v>
      </c>
      <c r="C53" s="14"/>
      <c r="D53" s="17"/>
      <c r="E53" s="17"/>
      <c r="F53" s="17"/>
      <c r="G53" s="17"/>
      <c r="H53" s="17"/>
      <c r="I53" s="17"/>
      <c r="J53" s="17"/>
      <c r="K53" s="17"/>
      <c r="L53" s="17"/>
      <c r="M53" s="10" t="s">
        <v>182</v>
      </c>
      <c r="N53" s="11" t="s">
        <v>182</v>
      </c>
      <c r="O53" s="10"/>
      <c r="P53" s="12"/>
      <c r="Q53" s="13"/>
      <c r="R53" s="14"/>
      <c r="S53" s="6" t="s">
        <v>56</v>
      </c>
      <c r="T53" s="15"/>
      <c r="U53" s="16" t="s">
        <v>62</v>
      </c>
      <c r="V53" s="7">
        <v>12500156</v>
      </c>
      <c r="W53" s="10" t="s">
        <v>182</v>
      </c>
    </row>
    <row r="54" spans="1:23" x14ac:dyDescent="0.3">
      <c r="A54" s="17"/>
      <c r="B54" s="14" t="s">
        <v>63</v>
      </c>
      <c r="C54" s="14"/>
      <c r="D54" s="17"/>
      <c r="E54" s="17"/>
      <c r="F54" s="17"/>
      <c r="G54" s="17"/>
      <c r="H54" s="17"/>
      <c r="I54" s="17"/>
      <c r="J54" s="17"/>
      <c r="K54" s="17"/>
      <c r="L54" s="17"/>
      <c r="M54" s="10" t="s">
        <v>179</v>
      </c>
      <c r="N54" s="11" t="s">
        <v>179</v>
      </c>
      <c r="O54" s="10"/>
      <c r="P54" s="12"/>
      <c r="Q54" s="13"/>
      <c r="R54" s="14"/>
      <c r="S54" s="6" t="s">
        <v>55</v>
      </c>
      <c r="T54" s="15"/>
      <c r="U54" s="16" t="s">
        <v>62</v>
      </c>
      <c r="V54" s="7">
        <v>12500154</v>
      </c>
      <c r="W54" s="10" t="s">
        <v>179</v>
      </c>
    </row>
    <row r="55" spans="1:23" ht="30.6" x14ac:dyDescent="0.3">
      <c r="A55" s="17"/>
      <c r="B55" s="14" t="s">
        <v>63</v>
      </c>
      <c r="C55" s="14"/>
      <c r="D55" s="17"/>
      <c r="E55" s="17"/>
      <c r="F55" s="17"/>
      <c r="G55" s="17"/>
      <c r="H55" s="17"/>
      <c r="I55" s="17"/>
      <c r="J55" s="17"/>
      <c r="K55" s="17"/>
      <c r="L55" s="17"/>
      <c r="M55" s="10" t="s">
        <v>167</v>
      </c>
      <c r="N55" s="11" t="s">
        <v>168</v>
      </c>
      <c r="O55" s="10"/>
      <c r="P55" s="12"/>
      <c r="Q55" s="13"/>
      <c r="R55" s="14"/>
      <c r="S55" s="6" t="s">
        <v>169</v>
      </c>
      <c r="T55" s="15"/>
      <c r="U55" s="16" t="s">
        <v>62</v>
      </c>
      <c r="V55" s="7">
        <v>12504949</v>
      </c>
    </row>
    <row r="56" spans="1:23" ht="30.6" x14ac:dyDescent="0.3">
      <c r="A56" s="17"/>
      <c r="B56" s="14" t="s">
        <v>63</v>
      </c>
      <c r="C56" s="14"/>
      <c r="D56" s="17"/>
      <c r="E56" s="17"/>
      <c r="F56" s="17"/>
      <c r="G56" s="17"/>
      <c r="H56" s="17"/>
      <c r="I56" s="17"/>
      <c r="J56" s="17"/>
      <c r="K56" s="17"/>
      <c r="L56" s="17"/>
      <c r="M56" s="10" t="s">
        <v>170</v>
      </c>
      <c r="N56" s="11" t="s">
        <v>171</v>
      </c>
      <c r="O56" s="10"/>
      <c r="P56" s="12"/>
      <c r="Q56" s="13"/>
      <c r="R56" s="14"/>
      <c r="S56" s="6" t="s">
        <v>172</v>
      </c>
      <c r="T56" s="15"/>
      <c r="U56" s="16" t="s">
        <v>62</v>
      </c>
      <c r="V56" s="7">
        <v>12504957</v>
      </c>
    </row>
  </sheetData>
  <conditionalFormatting sqref="A1:A56">
    <cfRule type="expression" dxfId="51" priority="5">
      <formula>A1&lt;&gt;""</formula>
    </cfRule>
  </conditionalFormatting>
  <conditionalFormatting sqref="B1:B56">
    <cfRule type="expression" dxfId="50" priority="4">
      <formula>B1&lt;&gt;""</formula>
    </cfRule>
  </conditionalFormatting>
  <conditionalFormatting sqref="C1:C56">
    <cfRule type="expression" dxfId="49" priority="3">
      <formula>C1&lt;&gt;""</formula>
    </cfRule>
  </conditionalFormatting>
  <conditionalFormatting sqref="D1:K56">
    <cfRule type="expression" dxfId="48" priority="2">
      <formula>D1&lt;&gt;""</formula>
    </cfRule>
  </conditionalFormatting>
  <conditionalFormatting sqref="N1:N56">
    <cfRule type="expression" dxfId="47" priority="1">
      <formula>OR($H1="x", $H1="x")</formula>
    </cfRule>
  </conditionalFormatting>
  <conditionalFormatting sqref="S1:S56">
    <cfRule type="duplicateValues" dxfId="46" priority="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35"/>
  <sheetViews>
    <sheetView workbookViewId="0">
      <selection activeCell="B8" sqref="B8"/>
    </sheetView>
  </sheetViews>
  <sheetFormatPr defaultColWidth="8.88671875" defaultRowHeight="14.4" x14ac:dyDescent="0.3"/>
  <cols>
    <col min="1" max="1" width="20.88671875" customWidth="1"/>
    <col min="2" max="2" width="67" customWidth="1"/>
    <col min="9" max="9" width="28.33203125" customWidth="1"/>
  </cols>
  <sheetData>
    <row r="1" spans="1:9" x14ac:dyDescent="0.3">
      <c r="I1" t="s">
        <v>41</v>
      </c>
    </row>
    <row r="2" spans="1:9" x14ac:dyDescent="0.3">
      <c r="A2" t="s">
        <v>47</v>
      </c>
      <c r="B2" t="s">
        <v>48</v>
      </c>
      <c r="I2" t="s">
        <v>7</v>
      </c>
    </row>
    <row r="3" spans="1:9" x14ac:dyDescent="0.3">
      <c r="A3" t="s">
        <v>49</v>
      </c>
      <c r="B3" t="s">
        <v>50</v>
      </c>
      <c r="I3" t="s">
        <v>8</v>
      </c>
    </row>
    <row r="4" spans="1:9" x14ac:dyDescent="0.3">
      <c r="A4" t="s">
        <v>51</v>
      </c>
      <c r="B4" t="s">
        <v>51</v>
      </c>
      <c r="I4" t="s">
        <v>9</v>
      </c>
    </row>
    <row r="5" spans="1:9" x14ac:dyDescent="0.3">
      <c r="A5" t="s">
        <v>51</v>
      </c>
      <c r="B5" t="s">
        <v>51</v>
      </c>
      <c r="I5" t="s">
        <v>10</v>
      </c>
    </row>
    <row r="6" spans="1:9" x14ac:dyDescent="0.3">
      <c r="A6" t="s">
        <v>51</v>
      </c>
      <c r="B6" t="s">
        <v>51</v>
      </c>
      <c r="I6" t="s">
        <v>11</v>
      </c>
    </row>
    <row r="7" spans="1:9" x14ac:dyDescent="0.3">
      <c r="A7" t="s">
        <v>51</v>
      </c>
      <c r="B7" t="s">
        <v>51</v>
      </c>
      <c r="I7" t="s">
        <v>12</v>
      </c>
    </row>
    <row r="8" spans="1:9" x14ac:dyDescent="0.3">
      <c r="A8" t="s">
        <v>51</v>
      </c>
      <c r="B8" t="s">
        <v>51</v>
      </c>
      <c r="I8" t="s">
        <v>13</v>
      </c>
    </row>
    <row r="9" spans="1:9" x14ac:dyDescent="0.3">
      <c r="A9" t="s">
        <v>51</v>
      </c>
      <c r="B9" t="s">
        <v>51</v>
      </c>
      <c r="I9" t="s">
        <v>14</v>
      </c>
    </row>
    <row r="10" spans="1:9" x14ac:dyDescent="0.3">
      <c r="A10" t="s">
        <v>51</v>
      </c>
      <c r="B10" t="s">
        <v>51</v>
      </c>
      <c r="I10" t="s">
        <v>15</v>
      </c>
    </row>
    <row r="11" spans="1:9" x14ac:dyDescent="0.3">
      <c r="A11" t="s">
        <v>51</v>
      </c>
      <c r="B11" t="s">
        <v>51</v>
      </c>
      <c r="I11" t="s">
        <v>16</v>
      </c>
    </row>
    <row r="12" spans="1:9" x14ac:dyDescent="0.3">
      <c r="A12" t="s">
        <v>51</v>
      </c>
      <c r="B12" t="s">
        <v>51</v>
      </c>
      <c r="I12" t="s">
        <v>17</v>
      </c>
    </row>
    <row r="13" spans="1:9" x14ac:dyDescent="0.3">
      <c r="A13" t="s">
        <v>51</v>
      </c>
      <c r="B13" t="s">
        <v>51</v>
      </c>
      <c r="I13" t="s">
        <v>18</v>
      </c>
    </row>
    <row r="14" spans="1:9" x14ac:dyDescent="0.3">
      <c r="A14" t="s">
        <v>51</v>
      </c>
      <c r="B14" t="s">
        <v>51</v>
      </c>
      <c r="I14" t="s">
        <v>19</v>
      </c>
    </row>
    <row r="15" spans="1:9" x14ac:dyDescent="0.3">
      <c r="A15" t="s">
        <v>51</v>
      </c>
      <c r="B15" t="s">
        <v>51</v>
      </c>
      <c r="I15" t="s">
        <v>20</v>
      </c>
    </row>
    <row r="16" spans="1:9" x14ac:dyDescent="0.3">
      <c r="A16" t="s">
        <v>51</v>
      </c>
      <c r="B16" t="s">
        <v>51</v>
      </c>
      <c r="I16" t="s">
        <v>21</v>
      </c>
    </row>
    <row r="17" spans="1:9" x14ac:dyDescent="0.3">
      <c r="A17" t="s">
        <v>51</v>
      </c>
      <c r="B17" t="s">
        <v>51</v>
      </c>
      <c r="I17" t="s">
        <v>22</v>
      </c>
    </row>
    <row r="18" spans="1:9" x14ac:dyDescent="0.3">
      <c r="A18" t="s">
        <v>51</v>
      </c>
      <c r="B18" t="s">
        <v>51</v>
      </c>
      <c r="I18" t="s">
        <v>23</v>
      </c>
    </row>
    <row r="19" spans="1:9" x14ac:dyDescent="0.3">
      <c r="A19" t="s">
        <v>51</v>
      </c>
      <c r="B19" t="s">
        <v>51</v>
      </c>
      <c r="I19" t="s">
        <v>24</v>
      </c>
    </row>
    <row r="20" spans="1:9" x14ac:dyDescent="0.3">
      <c r="A20" t="s">
        <v>51</v>
      </c>
      <c r="B20" t="s">
        <v>51</v>
      </c>
      <c r="I20" t="s">
        <v>25</v>
      </c>
    </row>
    <row r="21" spans="1:9" x14ac:dyDescent="0.3">
      <c r="A21" t="s">
        <v>51</v>
      </c>
      <c r="B21" t="s">
        <v>51</v>
      </c>
      <c r="I21" t="s">
        <v>26</v>
      </c>
    </row>
    <row r="22" spans="1:9" x14ac:dyDescent="0.3">
      <c r="A22" t="s">
        <v>51</v>
      </c>
      <c r="B22" t="s">
        <v>51</v>
      </c>
      <c r="I22" t="s">
        <v>27</v>
      </c>
    </row>
    <row r="23" spans="1:9" x14ac:dyDescent="0.3">
      <c r="A23" t="s">
        <v>51</v>
      </c>
      <c r="B23" t="s">
        <v>51</v>
      </c>
      <c r="I23" t="s">
        <v>28</v>
      </c>
    </row>
    <row r="24" spans="1:9" x14ac:dyDescent="0.3">
      <c r="A24" t="s">
        <v>51</v>
      </c>
      <c r="B24" t="s">
        <v>51</v>
      </c>
      <c r="I24" t="s">
        <v>29</v>
      </c>
    </row>
    <row r="25" spans="1:9" x14ac:dyDescent="0.3">
      <c r="A25" t="s">
        <v>51</v>
      </c>
      <c r="B25" t="s">
        <v>51</v>
      </c>
      <c r="I25" t="s">
        <v>30</v>
      </c>
    </row>
    <row r="26" spans="1:9" x14ac:dyDescent="0.3">
      <c r="A26" t="s">
        <v>51</v>
      </c>
      <c r="B26" t="s">
        <v>51</v>
      </c>
      <c r="I26" t="s">
        <v>31</v>
      </c>
    </row>
    <row r="27" spans="1:9" x14ac:dyDescent="0.3">
      <c r="A27" t="s">
        <v>51</v>
      </c>
      <c r="B27" t="s">
        <v>51</v>
      </c>
      <c r="I27" t="s">
        <v>32</v>
      </c>
    </row>
    <row r="28" spans="1:9" x14ac:dyDescent="0.3">
      <c r="A28" t="s">
        <v>51</v>
      </c>
      <c r="B28" t="s">
        <v>51</v>
      </c>
      <c r="I28" t="s">
        <v>33</v>
      </c>
    </row>
    <row r="29" spans="1:9" x14ac:dyDescent="0.3">
      <c r="A29" t="s">
        <v>51</v>
      </c>
      <c r="B29" t="s">
        <v>51</v>
      </c>
      <c r="I29" t="s">
        <v>34</v>
      </c>
    </row>
    <row r="30" spans="1:9" x14ac:dyDescent="0.3">
      <c r="A30" t="s">
        <v>51</v>
      </c>
      <c r="B30" t="s">
        <v>51</v>
      </c>
      <c r="I30" t="s">
        <v>35</v>
      </c>
    </row>
    <row r="31" spans="1:9" x14ac:dyDescent="0.3">
      <c r="A31" t="s">
        <v>51</v>
      </c>
      <c r="B31" t="s">
        <v>51</v>
      </c>
      <c r="I31" t="s">
        <v>36</v>
      </c>
    </row>
    <row r="32" spans="1:9" x14ac:dyDescent="0.3">
      <c r="A32" t="s">
        <v>51</v>
      </c>
      <c r="B32" t="s">
        <v>51</v>
      </c>
      <c r="I32" t="s">
        <v>37</v>
      </c>
    </row>
    <row r="33" spans="1:9" x14ac:dyDescent="0.3">
      <c r="A33" t="s">
        <v>51</v>
      </c>
      <c r="B33" t="s">
        <v>51</v>
      </c>
      <c r="I33" t="s">
        <v>38</v>
      </c>
    </row>
    <row r="34" spans="1:9" x14ac:dyDescent="0.3">
      <c r="A34" t="s">
        <v>51</v>
      </c>
      <c r="B34" t="s">
        <v>51</v>
      </c>
      <c r="I34" t="s">
        <v>39</v>
      </c>
    </row>
    <row r="35" spans="1:9" x14ac:dyDescent="0.3">
      <c r="A35" t="s">
        <v>51</v>
      </c>
      <c r="B35" t="s">
        <v>51</v>
      </c>
      <c r="I35" t="s"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zepiszDoCSV">
                <anchor moveWithCells="1" sizeWithCells="1">
                  <from>
                    <xdr:col>2</xdr:col>
                    <xdr:colOff>297180</xdr:colOff>
                    <xdr:row>1</xdr:row>
                    <xdr:rowOff>60960</xdr:rowOff>
                  </from>
                  <to>
                    <xdr:col>5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tworzFoldery">
                <anchor moveWithCells="1" sizeWithCells="1">
                  <from>
                    <xdr:col>5</xdr:col>
                    <xdr:colOff>411480</xdr:colOff>
                    <xdr:row>0</xdr:row>
                    <xdr:rowOff>22860</xdr:rowOff>
                  </from>
                  <to>
                    <xdr:col>8</xdr:col>
                    <xdr:colOff>7620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x</vt:lpstr>
      <vt:lpstr>Sheet2</vt:lpstr>
      <vt:lpstr>Sheet3</vt:lpstr>
      <vt:lpstr>csv</vt:lpstr>
      <vt:lpstr>x!Print_Area</vt:lpstr>
      <vt:lpstr>x!Print_Titles</vt:lpstr>
    </vt:vector>
  </TitlesOfParts>
  <Company>Stadler Rail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Rytel Piotr STAPS</dc:creator>
  <cp:lastModifiedBy>Rytel Piotr STAPS</cp:lastModifiedBy>
  <cp:lastPrinted>2016-08-16T11:26:16Z</cp:lastPrinted>
  <dcterms:created xsi:type="dcterms:W3CDTF">2015-05-18T10:18:42Z</dcterms:created>
  <dcterms:modified xsi:type="dcterms:W3CDTF">2023-10-19T06:46:39Z</dcterms:modified>
</cp:coreProperties>
</file>