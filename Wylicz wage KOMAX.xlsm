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ytpio\Desktop\Makra bieżące\"/>
    </mc:Choice>
  </mc:AlternateContent>
  <xr:revisionPtr revIDLastSave="0" documentId="13_ncr:1_{98E8E010-A5F9-41A4-8B0C-1E71C2AEB16B}" xr6:coauthVersionLast="36" xr6:coauthVersionMax="36" xr10:uidLastSave="{00000000-0000-0000-0000-000000000000}"/>
  <bookViews>
    <workbookView xWindow="0" yWindow="600" windowWidth="22980" windowHeight="8724" xr2:uid="{00000000-000D-0000-FFFF-FFFF00000000}"/>
  </bookViews>
  <sheets>
    <sheet name="X" sheetId="8" r:id="rId1"/>
    <sheet name="Lista" sheetId="11" r:id="rId2"/>
  </sheets>
  <functionGroups builtInGroupCount="19"/>
  <definedNames>
    <definedName name="_xlnm._FilterDatabase" localSheetId="1" hidden="1">Lista!$A$1:$G$181</definedName>
    <definedName name="_xlnm._FilterDatabase" localSheetId="0" hidden="1">X!#REF!</definedName>
  </definedNames>
  <calcPr calcId="191029" refMode="R1C1"/>
</workbook>
</file>

<file path=xl/calcChain.xml><?xml version="1.0" encoding="utf-8"?>
<calcChain xmlns="http://schemas.openxmlformats.org/spreadsheetml/2006/main">
  <c r="T27" i="8" l="1"/>
  <c r="V27" i="8" s="1"/>
  <c r="W27" i="8" s="1"/>
  <c r="R27" i="8"/>
  <c r="T26" i="8"/>
  <c r="V26" i="8" s="1"/>
  <c r="W26" i="8" s="1"/>
  <c r="R26" i="8"/>
  <c r="T25" i="8"/>
  <c r="V25" i="8" s="1"/>
  <c r="W25" i="8" s="1"/>
  <c r="R25" i="8"/>
  <c r="T24" i="8"/>
  <c r="V24" i="8" s="1"/>
  <c r="W24" i="8" s="1"/>
  <c r="R24" i="8"/>
  <c r="T23" i="8"/>
  <c r="V23" i="8" s="1"/>
  <c r="W23" i="8" s="1"/>
  <c r="R23" i="8"/>
</calcChain>
</file>

<file path=xl/sharedStrings.xml><?xml version="1.0" encoding="utf-8"?>
<sst xmlns="http://schemas.openxmlformats.org/spreadsheetml/2006/main" count="883" uniqueCount="106">
  <si>
    <t>L:\01_PROJEKTY\L-4388_TRAM_OSTRAVA\01_Produkcja\01_Listy_kablowe-Kabelliste\02_Montazowe_listy_kabli_EVM\01_KOMAX</t>
  </si>
  <si>
    <t>Lista</t>
  </si>
  <si>
    <t>Grupa</t>
  </si>
  <si>
    <t>Waga</t>
  </si>
  <si>
    <t>ile wiązek</t>
  </si>
  <si>
    <t>ile przewodów</t>
  </si>
  <si>
    <t>#</t>
  </si>
  <si>
    <t>L-4388</t>
  </si>
  <si>
    <t>L-4373</t>
  </si>
  <si>
    <t>L-4372</t>
  </si>
  <si>
    <t>L:\01_PROJEKTY\L-4377_East_Anglia_Abellio\01_Produkcja\01_Listy_kablowe-Kabelliste\02_Montazowe_listy_kabli_EVM\01_KOMAX</t>
  </si>
  <si>
    <t>L-4377</t>
  </si>
  <si>
    <t>L:\01_PROJEKTY\L-4378_East_Anglia\01_Produkcja\01_Listy_kablowe-Kabelliste\02_Montazowe_listy_kabli_EVM\01_KOMAX</t>
  </si>
  <si>
    <t>L-4378</t>
  </si>
  <si>
    <t>L:\01_PROJEKTY\L-4300_SBB_FVG\01_Produkcja\01_Listy_kablowe-Kabelliste\02 Montazowe listy kabli EVM\01_KOMAX\BI_STANDARD</t>
  </si>
  <si>
    <t>L-4393</t>
  </si>
  <si>
    <t>L:\01_PROJEKTY\L-4350_NSB_LLT\01_Produkcja\01_Listy_kablowe-Kabelliste\02 Montazowe listy kabli EVM\01_KOMAX</t>
  </si>
  <si>
    <t>L-4350</t>
  </si>
  <si>
    <t>↓ Folder z listami KOMAX: ↓</t>
  </si>
  <si>
    <t>↓Folder:↓</t>
  </si>
  <si>
    <t>↓Data:↓</t>
  </si>
  <si>
    <t>↓ Foldery KOMAX: ↓</t>
  </si>
  <si>
    <t>L-4393 TYLKO VTS</t>
  </si>
  <si>
    <t>L:\01_PROJEKTY\L-4300_SBB_FVG\01_Produkcja\01_Listy_kablowe-Kabelliste\02 Montazowe listy kabli EVM\06_Dane\LEX_A017_VTS</t>
  </si>
  <si>
    <t>BFB3_A010</t>
  </si>
  <si>
    <t>BFB4_A006</t>
  </si>
  <si>
    <t>Waga listy KOMAX</t>
  </si>
  <si>
    <t xml:space="preserve">Waga(5) = 830 </t>
  </si>
  <si>
    <t>Szpula</t>
  </si>
  <si>
    <t>Metraż</t>
  </si>
  <si>
    <t>Podane wagi /100m</t>
  </si>
  <si>
    <t>Wyliczona waga kabli</t>
  </si>
  <si>
    <t>delta</t>
  </si>
  <si>
    <t>Waga(6) = 1050</t>
  </si>
  <si>
    <t>Waga(7) = 1540</t>
  </si>
  <si>
    <t>Waga(8) = 2530</t>
  </si>
  <si>
    <t>Waga(9) = 3900</t>
  </si>
  <si>
    <t>Szpula? Waga</t>
  </si>
  <si>
    <t>W:\EVM\I Projekty\L-4372 SOB\Produkcja\01_Produkcja\01_Listy_kablowe-Kabelliste\02_Montazowe_listy_kabli_EVM\01_KOMAX</t>
  </si>
  <si>
    <t>W:\EVM\I Projekty\L-4373 SOB\Produkcja\01_Produkcja\01_Listy_kablowe-Kabelliste\02_Montazowe_listy_kabli_EVM\01_KOMAX</t>
  </si>
  <si>
    <t>PRIO1</t>
  </si>
  <si>
    <t>PRIO2</t>
  </si>
  <si>
    <t>PRIO3</t>
  </si>
  <si>
    <t>PRIO4</t>
  </si>
  <si>
    <t>AAG1_A023</t>
  </si>
  <si>
    <t>AAH1_A029</t>
  </si>
  <si>
    <t>AAH2_A009</t>
  </si>
  <si>
    <t>AAS1_A033</t>
  </si>
  <si>
    <t>AFB1_A012</t>
  </si>
  <si>
    <t>AFB2_A010</t>
  </si>
  <si>
    <t>AFB3_A010</t>
  </si>
  <si>
    <t>AFB4_A006</t>
  </si>
  <si>
    <t>AFB5_A029</t>
  </si>
  <si>
    <t>AFB6_A009</t>
  </si>
  <si>
    <t>AFB7_A011</t>
  </si>
  <si>
    <t>AFS1_A034</t>
  </si>
  <si>
    <t>AFS2_A030</t>
  </si>
  <si>
    <t>AFX_AFX1_A032</t>
  </si>
  <si>
    <t>APH1_A011</t>
  </si>
  <si>
    <t>APS1_A033</t>
  </si>
  <si>
    <t>BAG1_A023</t>
  </si>
  <si>
    <t>BAH1_A029</t>
  </si>
  <si>
    <t>BAH2_A009</t>
  </si>
  <si>
    <t>BAS1_A032</t>
  </si>
  <si>
    <t>BFB1_A012</t>
  </si>
  <si>
    <t>BFB2_A010</t>
  </si>
  <si>
    <t>BFB5_A029</t>
  </si>
  <si>
    <t>BFB6_A009</t>
  </si>
  <si>
    <t>BFB7_A011</t>
  </si>
  <si>
    <t>BFS1_A034</t>
  </si>
  <si>
    <t>BFS2_A030</t>
  </si>
  <si>
    <t>BFX_BFX1_A032</t>
  </si>
  <si>
    <t>BPH1_A011</t>
  </si>
  <si>
    <t>BPS1_A033</t>
  </si>
  <si>
    <t>CPH1_A022</t>
  </si>
  <si>
    <t>CPS1_A034</t>
  </si>
  <si>
    <t>CPS2_A032</t>
  </si>
  <si>
    <t>CPS3_A011</t>
  </si>
  <si>
    <t>DPH1_A011</t>
  </si>
  <si>
    <t>DPS1_A034</t>
  </si>
  <si>
    <t>DPS2_A032</t>
  </si>
  <si>
    <t>DPS3_A002</t>
  </si>
  <si>
    <t>EPH1_A021</t>
  </si>
  <si>
    <t>EPS1_A033</t>
  </si>
  <si>
    <t>EPS2_A003</t>
  </si>
  <si>
    <t>EPS3_A010</t>
  </si>
  <si>
    <t>FPH1_A010</t>
  </si>
  <si>
    <t>FPS1_A033</t>
  </si>
  <si>
    <t>FPS2_A003</t>
  </si>
  <si>
    <t>FPS3_A004</t>
  </si>
  <si>
    <t>GAG1_A021</t>
  </si>
  <si>
    <t>GAH1_A029</t>
  </si>
  <si>
    <t>GAH2_A009</t>
  </si>
  <si>
    <t>GAS1_A034</t>
  </si>
  <si>
    <t>GAS2_A021</t>
  </si>
  <si>
    <t>GNB1_A029</t>
  </si>
  <si>
    <t>GPH1_A026</t>
  </si>
  <si>
    <t>GPS1_A033</t>
  </si>
  <si>
    <t>HAG1_A025</t>
  </si>
  <si>
    <t>HAH1_A029</t>
  </si>
  <si>
    <t>HAH2_A009</t>
  </si>
  <si>
    <t>HAS1_A034</t>
  </si>
  <si>
    <t>HAS2_A025</t>
  </si>
  <si>
    <t>HPH1_A026</t>
  </si>
  <si>
    <t>HPS1_A033</t>
  </si>
  <si>
    <t>\\nws444\project$\L-4311 SBB Giruno Fz07-29\Produkcja\01_Produkcja\11_Sztuk_Listy-Stuecklisten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</si>
</sst>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14" fontId="0" fillId="0" borderId="0" xfId="0" applyNumberFormat="1"/>
    <xf numFmtId="0" fontId="0" fillId="2" borderId="0" xfId="0" applyFill="1"/>
    <xf numFmtId="14" fontId="0" fillId="2" borderId="0" xfId="0" applyNumberFormat="1" applyFill="1"/>
    <xf numFmtId="9" fontId="0" fillId="0" borderId="0" xfId="1" applyFont="1"/>
    <xf numFmtId="0" fontId="0" fillId="0" borderId="1" xfId="0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274320</xdr:colOff>
          <xdr:row>1</xdr:row>
          <xdr:rowOff>76200</xdr:rowOff>
        </xdr:from>
        <xdr:to>
          <xdr:col>6</xdr:col>
          <xdr:colOff>480060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8B0DCDE9-D1B2-44B1-9438-236CF3B859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Zrzuc zawartosc folderu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W27"/>
  <sheetViews>
    <sheetView tabSelected="1" workbookViewId="0">
      <selection activeCell="C13" sqref="C13"/>
    </sheetView>
  </sheetViews>
  <sheetFormatPr defaultRowHeight="14.4" x14ac:dyDescent="0.3"/>
  <cols>
    <col min="1" max="1" width="24.33203125" customWidth="1"/>
    <col min="2" max="2" width="11.33203125" style="1" customWidth="1"/>
    <col min="3" max="3" width="29.6640625" customWidth="1"/>
    <col min="4" max="4" width="20.44140625" customWidth="1"/>
    <col min="8" max="8" width="11" customWidth="1"/>
    <col min="9" max="9" width="15.109375" customWidth="1"/>
    <col min="12" max="12" width="20.21875" customWidth="1"/>
  </cols>
  <sheetData>
    <row r="1" spans="1:17" x14ac:dyDescent="0.3">
      <c r="A1" s="2" t="s">
        <v>18</v>
      </c>
      <c r="L1" s="2" t="s">
        <v>21</v>
      </c>
    </row>
    <row r="2" spans="1:17" x14ac:dyDescent="0.3">
      <c r="A2" t="s">
        <v>105</v>
      </c>
      <c r="L2" t="s">
        <v>7</v>
      </c>
      <c r="M2" t="s">
        <v>0</v>
      </c>
    </row>
    <row r="3" spans="1:17" x14ac:dyDescent="0.3">
      <c r="L3" t="s">
        <v>8</v>
      </c>
      <c r="M3" t="s">
        <v>39</v>
      </c>
    </row>
    <row r="4" spans="1:17" x14ac:dyDescent="0.3">
      <c r="A4" s="2" t="s">
        <v>19</v>
      </c>
      <c r="B4" s="3" t="s">
        <v>20</v>
      </c>
      <c r="L4" t="s">
        <v>9</v>
      </c>
      <c r="M4" t="s">
        <v>38</v>
      </c>
    </row>
    <row r="5" spans="1:17" x14ac:dyDescent="0.3">
      <c r="L5" t="s">
        <v>11</v>
      </c>
      <c r="M5" t="s">
        <v>10</v>
      </c>
    </row>
    <row r="6" spans="1:17" x14ac:dyDescent="0.3">
      <c r="L6" t="s">
        <v>13</v>
      </c>
      <c r="M6" t="s">
        <v>12</v>
      </c>
    </row>
    <row r="7" spans="1:17" x14ac:dyDescent="0.3">
      <c r="L7" t="s">
        <v>15</v>
      </c>
      <c r="M7" t="s">
        <v>14</v>
      </c>
    </row>
    <row r="8" spans="1:17" x14ac:dyDescent="0.3">
      <c r="L8" t="s">
        <v>17</v>
      </c>
      <c r="M8" t="s">
        <v>16</v>
      </c>
    </row>
    <row r="9" spans="1:17" x14ac:dyDescent="0.3">
      <c r="L9" t="s">
        <v>22</v>
      </c>
      <c r="M9" t="s">
        <v>23</v>
      </c>
    </row>
    <row r="14" spans="1:17" x14ac:dyDescent="0.3">
      <c r="H14" s="1"/>
    </row>
    <row r="15" spans="1:17" x14ac:dyDescent="0.3">
      <c r="H15" s="5" t="s">
        <v>24</v>
      </c>
      <c r="I15" s="5" t="s">
        <v>24</v>
      </c>
      <c r="J15" s="5">
        <v>228.215</v>
      </c>
      <c r="K15" s="5">
        <v>6</v>
      </c>
      <c r="L15" s="5">
        <v>13</v>
      </c>
      <c r="M15" s="5">
        <v>5</v>
      </c>
      <c r="O15">
        <v>237</v>
      </c>
      <c r="P15">
        <v>-8.7849999999999966</v>
      </c>
      <c r="Q15" s="4">
        <v>-3.706751054852319E-2</v>
      </c>
    </row>
    <row r="16" spans="1:17" x14ac:dyDescent="0.3">
      <c r="H16" s="5" t="s">
        <v>25</v>
      </c>
      <c r="I16" s="5" t="s">
        <v>25</v>
      </c>
      <c r="J16" s="5">
        <v>253.82499999999999</v>
      </c>
      <c r="K16" s="5">
        <v>4</v>
      </c>
      <c r="L16" s="5">
        <v>11</v>
      </c>
      <c r="M16" s="5">
        <v>5</v>
      </c>
      <c r="O16">
        <v>261</v>
      </c>
      <c r="P16">
        <v>-7.1750000000000114</v>
      </c>
      <c r="Q16" s="4">
        <v>-2.7490421455938739E-2</v>
      </c>
    </row>
    <row r="22" spans="12:23" x14ac:dyDescent="0.3">
      <c r="L22" t="s">
        <v>30</v>
      </c>
      <c r="O22" t="s">
        <v>29</v>
      </c>
      <c r="P22" t="s">
        <v>28</v>
      </c>
      <c r="Q22" t="s">
        <v>3</v>
      </c>
      <c r="R22" t="s">
        <v>32</v>
      </c>
      <c r="S22" t="s">
        <v>37</v>
      </c>
      <c r="T22" t="s">
        <v>31</v>
      </c>
    </row>
    <row r="23" spans="12:23" x14ac:dyDescent="0.3">
      <c r="L23" t="s">
        <v>27</v>
      </c>
      <c r="N23">
        <v>830</v>
      </c>
      <c r="O23">
        <v>500</v>
      </c>
      <c r="P23">
        <v>4686</v>
      </c>
      <c r="Q23">
        <v>4626</v>
      </c>
      <c r="R23">
        <f>P23-Q23</f>
        <v>60</v>
      </c>
      <c r="S23">
        <v>500</v>
      </c>
      <c r="T23">
        <f>O23/100*N23</f>
        <v>4150</v>
      </c>
      <c r="V23">
        <f>T23+S23-Q23</f>
        <v>24</v>
      </c>
      <c r="W23" s="4">
        <f>V23/T23</f>
        <v>5.7831325301204821E-3</v>
      </c>
    </row>
    <row r="24" spans="12:23" x14ac:dyDescent="0.3">
      <c r="L24" t="s">
        <v>33</v>
      </c>
      <c r="N24">
        <v>1050</v>
      </c>
      <c r="O24">
        <v>1000</v>
      </c>
      <c r="P24">
        <v>11420</v>
      </c>
      <c r="Q24">
        <v>11186</v>
      </c>
      <c r="R24">
        <f>P24-Q24</f>
        <v>234</v>
      </c>
      <c r="S24">
        <v>500</v>
      </c>
      <c r="T24">
        <f>O24/100*N24</f>
        <v>10500</v>
      </c>
      <c r="V24">
        <f>T24+S24-Q24</f>
        <v>-186</v>
      </c>
      <c r="W24" s="4">
        <f>V24/T24</f>
        <v>-1.7714285714285714E-2</v>
      </c>
    </row>
    <row r="25" spans="12:23" x14ac:dyDescent="0.3">
      <c r="L25" t="s">
        <v>34</v>
      </c>
      <c r="N25">
        <v>1540</v>
      </c>
      <c r="O25">
        <v>500</v>
      </c>
      <c r="P25">
        <v>8760</v>
      </c>
      <c r="Q25">
        <v>8599</v>
      </c>
      <c r="R25">
        <f>P25-Q25</f>
        <v>161</v>
      </c>
      <c r="S25">
        <v>800</v>
      </c>
      <c r="T25">
        <f>O25/100*N25</f>
        <v>7700</v>
      </c>
      <c r="V25">
        <f>T25+S25-Q25</f>
        <v>-99</v>
      </c>
      <c r="W25" s="4">
        <f>V25/T25</f>
        <v>-1.2857142857142857E-2</v>
      </c>
    </row>
    <row r="26" spans="12:23" x14ac:dyDescent="0.3">
      <c r="L26" t="s">
        <v>35</v>
      </c>
      <c r="N26">
        <v>2530</v>
      </c>
      <c r="O26">
        <v>500</v>
      </c>
      <c r="P26">
        <v>13760</v>
      </c>
      <c r="Q26">
        <v>13797</v>
      </c>
      <c r="R26">
        <f>P26-Q26</f>
        <v>-37</v>
      </c>
      <c r="S26">
        <v>800</v>
      </c>
      <c r="T26">
        <f>O26/100*N26</f>
        <v>12650</v>
      </c>
      <c r="V26">
        <f>T26+S26-Q26</f>
        <v>-347</v>
      </c>
      <c r="W26" s="4">
        <f>V26/T26</f>
        <v>-2.7430830039525692E-2</v>
      </c>
    </row>
    <row r="27" spans="12:23" x14ac:dyDescent="0.3">
      <c r="L27" t="s">
        <v>36</v>
      </c>
      <c r="N27">
        <v>3900</v>
      </c>
      <c r="O27">
        <v>525</v>
      </c>
      <c r="P27">
        <v>23627</v>
      </c>
      <c r="Q27">
        <v>23627</v>
      </c>
      <c r="R27">
        <f>P27-Q27</f>
        <v>0</v>
      </c>
      <c r="S27">
        <v>3000</v>
      </c>
      <c r="T27">
        <f>O27/100*N27</f>
        <v>20475</v>
      </c>
      <c r="V27">
        <f>T27+S27-Q27</f>
        <v>-152</v>
      </c>
      <c r="W27" s="4">
        <f>V27/T27</f>
        <v>-7.4236874236874237E-3</v>
      </c>
    </row>
  </sheetData>
  <pageMargins left="0.7" right="0.7" top="0.75" bottom="0.75" header="0.3" footer="0.3"/>
  <pageSetup paperSize="9" scale="62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rList">
                <anchor moveWithCells="1" sizeWithCells="1">
                  <from>
                    <xdr:col>4</xdr:col>
                    <xdr:colOff>274320</xdr:colOff>
                    <xdr:row>1</xdr:row>
                    <xdr:rowOff>76200</xdr:rowOff>
                  </from>
                  <to>
                    <xdr:col>6</xdr:col>
                    <xdr:colOff>480060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2:F298"/>
  <sheetViews>
    <sheetView topLeftCell="A280" zoomScale="85" zoomScaleNormal="85" workbookViewId="0">
      <selection activeCell="G4" sqref="G4"/>
    </sheetView>
  </sheetViews>
  <sheetFormatPr defaultRowHeight="14.4" x14ac:dyDescent="0.3"/>
  <cols>
    <col min="1" max="1" width="17.6640625" customWidth="1"/>
    <col min="2" max="2" width="14.21875" customWidth="1"/>
    <col min="3" max="3" width="17.77734375" customWidth="1"/>
    <col min="4" max="4" width="11.77734375" customWidth="1"/>
    <col min="5" max="5" width="15.77734375" customWidth="1"/>
    <col min="6" max="6" width="21.109375" customWidth="1"/>
    <col min="7" max="7" width="20.88671875" customWidth="1"/>
    <col min="8" max="8" width="19.88671875" customWidth="1"/>
    <col min="13" max="13" width="17.88671875" customWidth="1"/>
    <col min="14" max="14" width="13.88671875" bestFit="1" customWidth="1"/>
    <col min="20" max="20" width="13.109375" customWidth="1"/>
    <col min="21" max="21" width="18.5546875" customWidth="1"/>
  </cols>
  <sheetData>
    <row r="2" spans="1:6" x14ac:dyDescent="0.3">
      <c r="A2" s="5" t="s">
        <v>1</v>
      </c>
      <c r="B2" s="5" t="s">
        <v>2</v>
      </c>
      <c r="C2" s="5" t="s">
        <v>3</v>
      </c>
      <c r="D2" s="5" t="s">
        <v>4</v>
      </c>
      <c r="E2" s="5" t="s">
        <v>5</v>
      </c>
      <c r="F2" s="5" t="s">
        <v>26</v>
      </c>
    </row>
    <row r="3" spans="1:6" x14ac:dyDescent="0.3">
      <c r="A3" s="5" t="s">
        <v>44</v>
      </c>
      <c r="B3" s="5" t="s">
        <v>44</v>
      </c>
      <c r="C3" s="5">
        <v>2569.6499999999996</v>
      </c>
      <c r="D3" s="5">
        <v>9</v>
      </c>
      <c r="E3" s="5">
        <v>36</v>
      </c>
      <c r="F3" s="5">
        <v>10</v>
      </c>
    </row>
    <row r="4" spans="1:6" x14ac:dyDescent="0.3">
      <c r="A4" s="5" t="s">
        <v>44</v>
      </c>
      <c r="B4" s="5" t="s">
        <v>6</v>
      </c>
      <c r="C4" s="5">
        <v>2569.6499999999996</v>
      </c>
      <c r="D4" s="5">
        <v>9</v>
      </c>
      <c r="E4" s="5">
        <v>36</v>
      </c>
      <c r="F4" s="5">
        <v>10</v>
      </c>
    </row>
    <row r="5" spans="1:6" x14ac:dyDescent="0.3">
      <c r="A5" s="5" t="s">
        <v>1</v>
      </c>
      <c r="B5" s="5" t="s">
        <v>2</v>
      </c>
      <c r="C5" s="5" t="s">
        <v>3</v>
      </c>
      <c r="D5" s="5" t="s">
        <v>4</v>
      </c>
      <c r="E5" s="5" t="s">
        <v>5</v>
      </c>
      <c r="F5" s="5" t="s">
        <v>26</v>
      </c>
    </row>
    <row r="6" spans="1:6" x14ac:dyDescent="0.3">
      <c r="A6" s="5" t="s">
        <v>45</v>
      </c>
      <c r="B6" s="5" t="s">
        <v>45</v>
      </c>
      <c r="C6" s="5">
        <v>5063.835</v>
      </c>
      <c r="D6" s="5">
        <v>34</v>
      </c>
      <c r="E6" s="5">
        <v>171</v>
      </c>
      <c r="F6" s="5">
        <v>25</v>
      </c>
    </row>
    <row r="7" spans="1:6" x14ac:dyDescent="0.3">
      <c r="A7" s="5" t="s">
        <v>45</v>
      </c>
      <c r="B7" s="5" t="s">
        <v>40</v>
      </c>
      <c r="C7" s="5">
        <v>3404.21</v>
      </c>
      <c r="D7" s="5">
        <v>4</v>
      </c>
      <c r="E7" s="5">
        <v>106</v>
      </c>
      <c r="F7" s="5">
        <v>20</v>
      </c>
    </row>
    <row r="8" spans="1:6" x14ac:dyDescent="0.3">
      <c r="A8" s="5" t="s">
        <v>45</v>
      </c>
      <c r="B8" s="5" t="s">
        <v>41</v>
      </c>
      <c r="C8" s="5">
        <v>1659.625</v>
      </c>
      <c r="D8" s="5">
        <v>30</v>
      </c>
      <c r="E8" s="5">
        <v>65</v>
      </c>
      <c r="F8" s="5">
        <v>10</v>
      </c>
    </row>
    <row r="9" spans="1:6" x14ac:dyDescent="0.3">
      <c r="A9" s="5" t="s">
        <v>45</v>
      </c>
      <c r="B9" s="5" t="s">
        <v>6</v>
      </c>
      <c r="C9" s="5">
        <v>0</v>
      </c>
      <c r="D9" s="5">
        <v>0</v>
      </c>
      <c r="E9" s="5">
        <v>0</v>
      </c>
      <c r="F9" s="5">
        <v>0</v>
      </c>
    </row>
    <row r="10" spans="1:6" x14ac:dyDescent="0.3">
      <c r="A10" s="5" t="s">
        <v>1</v>
      </c>
      <c r="B10" s="5" t="s">
        <v>2</v>
      </c>
      <c r="C10" s="5" t="s">
        <v>3</v>
      </c>
      <c r="D10" s="5" t="s">
        <v>4</v>
      </c>
      <c r="E10" s="5" t="s">
        <v>5</v>
      </c>
      <c r="F10" s="5" t="s">
        <v>26</v>
      </c>
    </row>
    <row r="11" spans="1:6" x14ac:dyDescent="0.3">
      <c r="A11" s="5" t="s">
        <v>46</v>
      </c>
      <c r="B11" s="5" t="s">
        <v>46</v>
      </c>
      <c r="C11" s="5">
        <v>1844.6220000000001</v>
      </c>
      <c r="D11" s="5">
        <v>15</v>
      </c>
      <c r="E11" s="5">
        <v>60</v>
      </c>
      <c r="F11" s="5">
        <v>10</v>
      </c>
    </row>
    <row r="12" spans="1:6" x14ac:dyDescent="0.3">
      <c r="A12" s="5" t="s">
        <v>46</v>
      </c>
      <c r="B12" s="5" t="s">
        <v>40</v>
      </c>
      <c r="C12" s="5">
        <v>570</v>
      </c>
      <c r="D12" s="5">
        <v>2</v>
      </c>
      <c r="E12" s="5">
        <v>20</v>
      </c>
      <c r="F12" s="5">
        <v>5</v>
      </c>
    </row>
    <row r="13" spans="1:6" x14ac:dyDescent="0.3">
      <c r="A13" s="5" t="s">
        <v>46</v>
      </c>
      <c r="B13" s="5" t="s">
        <v>41</v>
      </c>
      <c r="C13" s="5">
        <v>1272.1220000000001</v>
      </c>
      <c r="D13" s="5">
        <v>13</v>
      </c>
      <c r="E13" s="5">
        <v>40</v>
      </c>
      <c r="F13" s="5">
        <v>10</v>
      </c>
    </row>
    <row r="14" spans="1:6" x14ac:dyDescent="0.3">
      <c r="A14" s="5" t="s">
        <v>46</v>
      </c>
      <c r="B14" s="5" t="s">
        <v>6</v>
      </c>
      <c r="C14" s="5">
        <v>0</v>
      </c>
      <c r="D14" s="5">
        <v>0</v>
      </c>
      <c r="E14" s="5">
        <v>0</v>
      </c>
      <c r="F14" s="5">
        <v>0</v>
      </c>
    </row>
    <row r="15" spans="1:6" x14ac:dyDescent="0.3">
      <c r="A15" s="5" t="s">
        <v>1</v>
      </c>
      <c r="B15" s="5" t="s">
        <v>2</v>
      </c>
      <c r="C15" s="5" t="s">
        <v>3</v>
      </c>
      <c r="D15" s="5" t="s">
        <v>4</v>
      </c>
      <c r="E15" s="5" t="s">
        <v>5</v>
      </c>
      <c r="F15" s="5" t="s">
        <v>26</v>
      </c>
    </row>
    <row r="16" spans="1:6" x14ac:dyDescent="0.3">
      <c r="A16" s="5" t="s">
        <v>47</v>
      </c>
      <c r="B16" s="5" t="s">
        <v>47</v>
      </c>
      <c r="C16" s="5">
        <v>33940.797000000006</v>
      </c>
      <c r="D16" s="5">
        <v>138</v>
      </c>
      <c r="E16" s="5">
        <v>863</v>
      </c>
      <c r="F16" s="5">
        <v>125</v>
      </c>
    </row>
    <row r="17" spans="1:6" x14ac:dyDescent="0.3">
      <c r="A17" s="5" t="s">
        <v>47</v>
      </c>
      <c r="B17" s="5" t="s">
        <v>40</v>
      </c>
      <c r="C17" s="5">
        <v>13584.982</v>
      </c>
      <c r="D17" s="5">
        <v>20</v>
      </c>
      <c r="E17" s="5">
        <v>340</v>
      </c>
      <c r="F17" s="5">
        <v>50</v>
      </c>
    </row>
    <row r="18" spans="1:6" x14ac:dyDescent="0.3">
      <c r="A18" s="5" t="s">
        <v>47</v>
      </c>
      <c r="B18" s="5" t="s">
        <v>41</v>
      </c>
      <c r="C18" s="5">
        <v>1883.65</v>
      </c>
      <c r="D18" s="5">
        <v>1</v>
      </c>
      <c r="E18" s="5">
        <v>50</v>
      </c>
      <c r="F18" s="5">
        <v>10</v>
      </c>
    </row>
    <row r="19" spans="1:6" x14ac:dyDescent="0.3">
      <c r="A19" s="5" t="s">
        <v>47</v>
      </c>
      <c r="B19" s="5" t="s">
        <v>42</v>
      </c>
      <c r="C19" s="5">
        <v>18472.164999999997</v>
      </c>
      <c r="D19" s="5">
        <v>117</v>
      </c>
      <c r="E19" s="5">
        <v>473</v>
      </c>
      <c r="F19" s="5">
        <v>70</v>
      </c>
    </row>
    <row r="20" spans="1:6" x14ac:dyDescent="0.3">
      <c r="A20" s="5" t="s">
        <v>47</v>
      </c>
      <c r="B20" s="5" t="s">
        <v>6</v>
      </c>
      <c r="C20" s="5">
        <v>0</v>
      </c>
      <c r="D20" s="5">
        <v>0</v>
      </c>
      <c r="E20" s="5">
        <v>0</v>
      </c>
      <c r="F20" s="5">
        <v>0</v>
      </c>
    </row>
    <row r="21" spans="1:6" x14ac:dyDescent="0.3">
      <c r="A21" s="5" t="s">
        <v>1</v>
      </c>
      <c r="B21" s="5" t="s">
        <v>2</v>
      </c>
      <c r="C21" s="5" t="s">
        <v>3</v>
      </c>
      <c r="D21" s="5" t="s">
        <v>4</v>
      </c>
      <c r="E21" s="5" t="s">
        <v>5</v>
      </c>
      <c r="F21" s="5" t="s">
        <v>26</v>
      </c>
    </row>
    <row r="22" spans="1:6" x14ac:dyDescent="0.3">
      <c r="A22" s="5" t="s">
        <v>48</v>
      </c>
      <c r="B22" s="5" t="s">
        <v>48</v>
      </c>
      <c r="C22" s="5">
        <v>888.625</v>
      </c>
      <c r="D22" s="5">
        <v>9</v>
      </c>
      <c r="E22" s="5">
        <v>39</v>
      </c>
      <c r="F22" s="5">
        <v>10</v>
      </c>
    </row>
    <row r="23" spans="1:6" x14ac:dyDescent="0.3">
      <c r="A23" s="5" t="s">
        <v>48</v>
      </c>
      <c r="B23" s="5" t="s">
        <v>6</v>
      </c>
      <c r="C23" s="5">
        <v>888.625</v>
      </c>
      <c r="D23" s="5">
        <v>9</v>
      </c>
      <c r="E23" s="5">
        <v>39</v>
      </c>
      <c r="F23" s="5">
        <v>10</v>
      </c>
    </row>
    <row r="24" spans="1:6" x14ac:dyDescent="0.3">
      <c r="A24" s="5" t="s">
        <v>1</v>
      </c>
      <c r="B24" s="5" t="s">
        <v>2</v>
      </c>
      <c r="C24" s="5" t="s">
        <v>3</v>
      </c>
      <c r="D24" s="5" t="s">
        <v>4</v>
      </c>
      <c r="E24" s="5" t="s">
        <v>5</v>
      </c>
      <c r="F24" s="5" t="s">
        <v>26</v>
      </c>
    </row>
    <row r="25" spans="1:6" x14ac:dyDescent="0.3">
      <c r="A25" s="5" t="s">
        <v>49</v>
      </c>
      <c r="B25" s="5" t="s">
        <v>49</v>
      </c>
      <c r="C25" s="5">
        <v>319.55</v>
      </c>
      <c r="D25" s="5">
        <v>3</v>
      </c>
      <c r="E25" s="5">
        <v>17</v>
      </c>
      <c r="F25" s="5">
        <v>5</v>
      </c>
    </row>
    <row r="26" spans="1:6" x14ac:dyDescent="0.3">
      <c r="A26" s="5" t="s">
        <v>49</v>
      </c>
      <c r="B26" s="5" t="s">
        <v>6</v>
      </c>
      <c r="C26" s="5">
        <v>319.55</v>
      </c>
      <c r="D26" s="5">
        <v>3</v>
      </c>
      <c r="E26" s="5">
        <v>17</v>
      </c>
      <c r="F26" s="5">
        <v>5</v>
      </c>
    </row>
    <row r="27" spans="1:6" x14ac:dyDescent="0.3">
      <c r="A27" s="5" t="s">
        <v>1</v>
      </c>
      <c r="B27" s="5" t="s">
        <v>2</v>
      </c>
      <c r="C27" s="5" t="s">
        <v>3</v>
      </c>
      <c r="D27" s="5" t="s">
        <v>4</v>
      </c>
      <c r="E27" s="5" t="s">
        <v>5</v>
      </c>
      <c r="F27" s="5" t="s">
        <v>26</v>
      </c>
    </row>
    <row r="28" spans="1:6" x14ac:dyDescent="0.3">
      <c r="A28" s="5" t="s">
        <v>50</v>
      </c>
      <c r="B28" s="5" t="s">
        <v>50</v>
      </c>
      <c r="C28" s="5">
        <v>191.73</v>
      </c>
      <c r="D28" s="5">
        <v>5</v>
      </c>
      <c r="E28" s="5">
        <v>11</v>
      </c>
      <c r="F28" s="5">
        <v>5</v>
      </c>
    </row>
    <row r="29" spans="1:6" x14ac:dyDescent="0.3">
      <c r="A29" s="5" t="s">
        <v>50</v>
      </c>
      <c r="B29" s="5" t="s">
        <v>6</v>
      </c>
      <c r="C29" s="5">
        <v>191.73</v>
      </c>
      <c r="D29" s="5">
        <v>5</v>
      </c>
      <c r="E29" s="5">
        <v>11</v>
      </c>
      <c r="F29" s="5">
        <v>5</v>
      </c>
    </row>
    <row r="30" spans="1:6" x14ac:dyDescent="0.3">
      <c r="A30" s="5" t="s">
        <v>1</v>
      </c>
      <c r="B30" s="5" t="s">
        <v>2</v>
      </c>
      <c r="C30" s="5" t="s">
        <v>3</v>
      </c>
      <c r="D30" s="5" t="s">
        <v>4</v>
      </c>
      <c r="E30" s="5" t="s">
        <v>5</v>
      </c>
      <c r="F30" s="5" t="s">
        <v>26</v>
      </c>
    </row>
    <row r="31" spans="1:6" x14ac:dyDescent="0.3">
      <c r="A31" s="5" t="s">
        <v>51</v>
      </c>
      <c r="B31" s="5" t="s">
        <v>51</v>
      </c>
      <c r="C31" s="5">
        <v>252.45</v>
      </c>
      <c r="D31" s="5">
        <v>4</v>
      </c>
      <c r="E31" s="5">
        <v>11</v>
      </c>
      <c r="F31" s="5">
        <v>5</v>
      </c>
    </row>
    <row r="32" spans="1:6" x14ac:dyDescent="0.3">
      <c r="A32" s="5" t="s">
        <v>51</v>
      </c>
      <c r="B32" s="5" t="s">
        <v>6</v>
      </c>
      <c r="C32" s="5">
        <v>252.45</v>
      </c>
      <c r="D32" s="5">
        <v>4</v>
      </c>
      <c r="E32" s="5">
        <v>11</v>
      </c>
      <c r="F32" s="5">
        <v>5</v>
      </c>
    </row>
    <row r="33" spans="1:6" x14ac:dyDescent="0.3">
      <c r="A33" s="5" t="s">
        <v>1</v>
      </c>
      <c r="B33" s="5" t="s">
        <v>2</v>
      </c>
      <c r="C33" s="5" t="s">
        <v>3</v>
      </c>
      <c r="D33" s="5" t="s">
        <v>4</v>
      </c>
      <c r="E33" s="5" t="s">
        <v>5</v>
      </c>
      <c r="F33" s="5" t="s">
        <v>26</v>
      </c>
    </row>
    <row r="34" spans="1:6" x14ac:dyDescent="0.3">
      <c r="A34" s="5" t="s">
        <v>52</v>
      </c>
      <c r="B34" s="5" t="s">
        <v>52</v>
      </c>
      <c r="C34" s="5">
        <v>562.34299999999996</v>
      </c>
      <c r="D34" s="5">
        <v>8</v>
      </c>
      <c r="E34" s="5">
        <v>36</v>
      </c>
      <c r="F34" s="5">
        <v>10</v>
      </c>
    </row>
    <row r="35" spans="1:6" x14ac:dyDescent="0.3">
      <c r="A35" s="5" t="s">
        <v>52</v>
      </c>
      <c r="B35" s="5" t="s">
        <v>6</v>
      </c>
      <c r="C35" s="5">
        <v>562.34299999999996</v>
      </c>
      <c r="D35" s="5">
        <v>8</v>
      </c>
      <c r="E35" s="5">
        <v>36</v>
      </c>
      <c r="F35" s="5">
        <v>10</v>
      </c>
    </row>
    <row r="36" spans="1:6" x14ac:dyDescent="0.3">
      <c r="A36" s="5" t="s">
        <v>1</v>
      </c>
      <c r="B36" s="5" t="s">
        <v>2</v>
      </c>
      <c r="C36" s="5" t="s">
        <v>3</v>
      </c>
      <c r="D36" s="5" t="s">
        <v>4</v>
      </c>
      <c r="E36" s="5" t="s">
        <v>5</v>
      </c>
      <c r="F36" s="5" t="s">
        <v>26</v>
      </c>
    </row>
    <row r="37" spans="1:6" x14ac:dyDescent="0.3">
      <c r="A37" s="5" t="s">
        <v>53</v>
      </c>
      <c r="B37" s="5" t="s">
        <v>53</v>
      </c>
      <c r="C37" s="5">
        <v>385.42499999999995</v>
      </c>
      <c r="D37" s="5">
        <v>3</v>
      </c>
      <c r="E37" s="5">
        <v>18</v>
      </c>
      <c r="F37" s="5">
        <v>5</v>
      </c>
    </row>
    <row r="38" spans="1:6" x14ac:dyDescent="0.3">
      <c r="A38" s="5" t="s">
        <v>53</v>
      </c>
      <c r="B38" s="5" t="s">
        <v>6</v>
      </c>
      <c r="C38" s="5">
        <v>385.42499999999995</v>
      </c>
      <c r="D38" s="5">
        <v>3</v>
      </c>
      <c r="E38" s="5">
        <v>18</v>
      </c>
      <c r="F38" s="5">
        <v>5</v>
      </c>
    </row>
    <row r="39" spans="1:6" x14ac:dyDescent="0.3">
      <c r="A39" s="5" t="s">
        <v>1</v>
      </c>
      <c r="B39" s="5" t="s">
        <v>2</v>
      </c>
      <c r="C39" s="5" t="s">
        <v>3</v>
      </c>
      <c r="D39" s="5" t="s">
        <v>4</v>
      </c>
      <c r="E39" s="5" t="s">
        <v>5</v>
      </c>
      <c r="F39" s="5" t="s">
        <v>26</v>
      </c>
    </row>
    <row r="40" spans="1:6" x14ac:dyDescent="0.3">
      <c r="A40" s="5" t="s">
        <v>54</v>
      </c>
      <c r="B40" s="5" t="s">
        <v>54</v>
      </c>
      <c r="C40" s="5">
        <v>1481.2750000000001</v>
      </c>
      <c r="D40" s="5">
        <v>8</v>
      </c>
      <c r="E40" s="5">
        <v>71</v>
      </c>
      <c r="F40" s="5">
        <v>15</v>
      </c>
    </row>
    <row r="41" spans="1:6" x14ac:dyDescent="0.3">
      <c r="A41" s="5" t="s">
        <v>54</v>
      </c>
      <c r="B41" s="5" t="s">
        <v>6</v>
      </c>
      <c r="C41" s="5">
        <v>1481.2750000000001</v>
      </c>
      <c r="D41" s="5">
        <v>8</v>
      </c>
      <c r="E41" s="5">
        <v>71</v>
      </c>
      <c r="F41" s="5">
        <v>15</v>
      </c>
    </row>
    <row r="42" spans="1:6" x14ac:dyDescent="0.3">
      <c r="A42" s="5" t="s">
        <v>1</v>
      </c>
      <c r="B42" s="5" t="s">
        <v>2</v>
      </c>
      <c r="C42" s="5" t="s">
        <v>3</v>
      </c>
      <c r="D42" s="5" t="s">
        <v>4</v>
      </c>
      <c r="E42" s="5" t="s">
        <v>5</v>
      </c>
      <c r="F42" s="5" t="s">
        <v>26</v>
      </c>
    </row>
    <row r="43" spans="1:6" x14ac:dyDescent="0.3">
      <c r="A43" s="5" t="s">
        <v>55</v>
      </c>
      <c r="B43" s="5" t="s">
        <v>55</v>
      </c>
      <c r="C43" s="5">
        <v>17941.089</v>
      </c>
      <c r="D43" s="5">
        <v>117</v>
      </c>
      <c r="E43" s="5">
        <v>810</v>
      </c>
      <c r="F43" s="5">
        <v>120</v>
      </c>
    </row>
    <row r="44" spans="1:6" x14ac:dyDescent="0.3">
      <c r="A44" s="5" t="s">
        <v>55</v>
      </c>
      <c r="B44" s="5" t="s">
        <v>40</v>
      </c>
      <c r="C44" s="5">
        <v>1238.7559999999999</v>
      </c>
      <c r="D44" s="5">
        <v>8</v>
      </c>
      <c r="E44" s="5">
        <v>47</v>
      </c>
      <c r="F44" s="5">
        <v>10</v>
      </c>
    </row>
    <row r="45" spans="1:6" x14ac:dyDescent="0.3">
      <c r="A45" s="5" t="s">
        <v>55</v>
      </c>
      <c r="B45" s="5" t="s">
        <v>41</v>
      </c>
      <c r="C45" s="5">
        <v>8519.5529999999999</v>
      </c>
      <c r="D45" s="5">
        <v>48</v>
      </c>
      <c r="E45" s="5">
        <v>349</v>
      </c>
      <c r="F45" s="5">
        <v>50</v>
      </c>
    </row>
    <row r="46" spans="1:6" x14ac:dyDescent="0.3">
      <c r="A46" s="5" t="s">
        <v>55</v>
      </c>
      <c r="B46" s="5" t="s">
        <v>42</v>
      </c>
      <c r="C46" s="5">
        <v>5604.1</v>
      </c>
      <c r="D46" s="5">
        <v>17</v>
      </c>
      <c r="E46" s="5">
        <v>250</v>
      </c>
      <c r="F46" s="5">
        <v>40</v>
      </c>
    </row>
    <row r="47" spans="1:6" x14ac:dyDescent="0.3">
      <c r="A47" s="5" t="s">
        <v>55</v>
      </c>
      <c r="B47" s="5" t="s">
        <v>43</v>
      </c>
      <c r="C47" s="5">
        <v>2578.6800000000003</v>
      </c>
      <c r="D47" s="5">
        <v>44</v>
      </c>
      <c r="E47" s="5">
        <v>164</v>
      </c>
      <c r="F47" s="5">
        <v>25</v>
      </c>
    </row>
    <row r="48" spans="1:6" x14ac:dyDescent="0.3">
      <c r="A48" s="5" t="s">
        <v>55</v>
      </c>
      <c r="B48" s="5" t="s">
        <v>6</v>
      </c>
      <c r="C48" s="5">
        <v>0</v>
      </c>
      <c r="D48" s="5">
        <v>0</v>
      </c>
      <c r="E48" s="5">
        <v>0</v>
      </c>
      <c r="F48" s="5">
        <v>0</v>
      </c>
    </row>
    <row r="49" spans="1:6" x14ac:dyDescent="0.3">
      <c r="A49" s="5" t="s">
        <v>1</v>
      </c>
      <c r="B49" s="5" t="s">
        <v>2</v>
      </c>
      <c r="C49" s="5" t="s">
        <v>3</v>
      </c>
      <c r="D49" s="5" t="s">
        <v>4</v>
      </c>
      <c r="E49" s="5" t="s">
        <v>5</v>
      </c>
      <c r="F49" s="5" t="s">
        <v>26</v>
      </c>
    </row>
    <row r="50" spans="1:6" x14ac:dyDescent="0.3">
      <c r="A50" s="5" t="s">
        <v>56</v>
      </c>
      <c r="B50" s="5" t="s">
        <v>56</v>
      </c>
      <c r="C50" s="5">
        <v>4628.0430000000006</v>
      </c>
      <c r="D50" s="5">
        <v>49</v>
      </c>
      <c r="E50" s="5">
        <v>293</v>
      </c>
      <c r="F50" s="5">
        <v>45</v>
      </c>
    </row>
    <row r="51" spans="1:6" x14ac:dyDescent="0.3">
      <c r="A51" s="5" t="s">
        <v>56</v>
      </c>
      <c r="B51" s="5" t="s">
        <v>40</v>
      </c>
      <c r="C51" s="5">
        <v>2097.5559999999996</v>
      </c>
      <c r="D51" s="5">
        <v>3</v>
      </c>
      <c r="E51" s="5">
        <v>106</v>
      </c>
      <c r="F51" s="5">
        <v>20</v>
      </c>
    </row>
    <row r="52" spans="1:6" x14ac:dyDescent="0.3">
      <c r="A52" s="5" t="s">
        <v>56</v>
      </c>
      <c r="B52" s="5" t="s">
        <v>41</v>
      </c>
      <c r="C52" s="5">
        <v>2530.4870000000001</v>
      </c>
      <c r="D52" s="5">
        <v>46</v>
      </c>
      <c r="E52" s="5">
        <v>187</v>
      </c>
      <c r="F52" s="5">
        <v>30</v>
      </c>
    </row>
    <row r="53" spans="1:6" x14ac:dyDescent="0.3">
      <c r="A53" s="5" t="s">
        <v>56</v>
      </c>
      <c r="B53" s="5" t="s">
        <v>6</v>
      </c>
      <c r="C53" s="5">
        <v>0</v>
      </c>
      <c r="D53" s="5">
        <v>0</v>
      </c>
      <c r="E53" s="5">
        <v>0</v>
      </c>
      <c r="F53" s="5">
        <v>0</v>
      </c>
    </row>
    <row r="54" spans="1:6" x14ac:dyDescent="0.3">
      <c r="A54" s="5" t="s">
        <v>1</v>
      </c>
      <c r="B54" s="5" t="s">
        <v>2</v>
      </c>
      <c r="C54" s="5" t="s">
        <v>3</v>
      </c>
      <c r="D54" s="5" t="s">
        <v>4</v>
      </c>
      <c r="E54" s="5" t="s">
        <v>5</v>
      </c>
      <c r="F54" s="5" t="s">
        <v>26</v>
      </c>
    </row>
    <row r="55" spans="1:6" x14ac:dyDescent="0.3">
      <c r="A55" s="5" t="s">
        <v>57</v>
      </c>
      <c r="B55" s="5" t="s">
        <v>57</v>
      </c>
      <c r="C55" s="5">
        <v>24191.224000000002</v>
      </c>
      <c r="D55" s="5">
        <v>92</v>
      </c>
      <c r="E55" s="5">
        <v>582</v>
      </c>
      <c r="F55" s="5">
        <v>85</v>
      </c>
    </row>
    <row r="56" spans="1:6" x14ac:dyDescent="0.3">
      <c r="A56" s="5" t="s">
        <v>57</v>
      </c>
      <c r="B56" s="5" t="s">
        <v>40</v>
      </c>
      <c r="C56" s="5">
        <v>7310.9650000000001</v>
      </c>
      <c r="D56" s="5">
        <v>9</v>
      </c>
      <c r="E56" s="5">
        <v>177</v>
      </c>
      <c r="F56" s="5">
        <v>30</v>
      </c>
    </row>
    <row r="57" spans="1:6" x14ac:dyDescent="0.3">
      <c r="A57" s="5" t="s">
        <v>57</v>
      </c>
      <c r="B57" s="5" t="s">
        <v>41</v>
      </c>
      <c r="C57" s="5">
        <v>14705.928</v>
      </c>
      <c r="D57" s="5">
        <v>75</v>
      </c>
      <c r="E57" s="5">
        <v>365</v>
      </c>
      <c r="F57" s="5">
        <v>55</v>
      </c>
    </row>
    <row r="58" spans="1:6" x14ac:dyDescent="0.3">
      <c r="A58" s="5" t="s">
        <v>57</v>
      </c>
      <c r="B58" s="5" t="s">
        <v>42</v>
      </c>
      <c r="C58" s="5">
        <v>2174.3310000000001</v>
      </c>
      <c r="D58" s="5">
        <v>8</v>
      </c>
      <c r="E58" s="5">
        <v>40</v>
      </c>
      <c r="F58" s="5">
        <v>10</v>
      </c>
    </row>
    <row r="59" spans="1:6" x14ac:dyDescent="0.3">
      <c r="A59" s="5" t="s">
        <v>57</v>
      </c>
      <c r="B59" s="5" t="s">
        <v>6</v>
      </c>
      <c r="C59" s="5">
        <v>0</v>
      </c>
      <c r="D59" s="5">
        <v>0</v>
      </c>
      <c r="E59" s="5">
        <v>0</v>
      </c>
      <c r="F59" s="5">
        <v>0</v>
      </c>
    </row>
    <row r="60" spans="1:6" x14ac:dyDescent="0.3">
      <c r="A60" s="5" t="s">
        <v>1</v>
      </c>
      <c r="B60" s="5" t="s">
        <v>2</v>
      </c>
      <c r="C60" s="5" t="s">
        <v>3</v>
      </c>
      <c r="D60" s="5" t="s">
        <v>4</v>
      </c>
      <c r="E60" s="5" t="s">
        <v>5</v>
      </c>
      <c r="F60" s="5" t="s">
        <v>26</v>
      </c>
    </row>
    <row r="61" spans="1:6" x14ac:dyDescent="0.3">
      <c r="A61" s="5" t="s">
        <v>58</v>
      </c>
      <c r="B61" s="5" t="s">
        <v>58</v>
      </c>
      <c r="C61" s="5">
        <v>1655.7150000000001</v>
      </c>
      <c r="D61" s="5">
        <v>19</v>
      </c>
      <c r="E61" s="5">
        <v>91</v>
      </c>
      <c r="F61" s="5">
        <v>15</v>
      </c>
    </row>
    <row r="62" spans="1:6" x14ac:dyDescent="0.3">
      <c r="A62" s="5" t="s">
        <v>58</v>
      </c>
      <c r="B62" s="5" t="s">
        <v>40</v>
      </c>
      <c r="C62" s="5">
        <v>919.86</v>
      </c>
      <c r="D62" s="5">
        <v>4</v>
      </c>
      <c r="E62" s="5">
        <v>48</v>
      </c>
      <c r="F62" s="5">
        <v>10</v>
      </c>
    </row>
    <row r="63" spans="1:6" x14ac:dyDescent="0.3">
      <c r="A63" s="5" t="s">
        <v>58</v>
      </c>
      <c r="B63" s="5" t="s">
        <v>41</v>
      </c>
      <c r="C63" s="5">
        <v>375.4</v>
      </c>
      <c r="D63" s="5">
        <v>6</v>
      </c>
      <c r="E63" s="5">
        <v>19</v>
      </c>
      <c r="F63" s="5">
        <v>5</v>
      </c>
    </row>
    <row r="64" spans="1:6" x14ac:dyDescent="0.3">
      <c r="A64" s="5" t="s">
        <v>58</v>
      </c>
      <c r="B64" s="5" t="s">
        <v>42</v>
      </c>
      <c r="C64" s="5">
        <v>355.08</v>
      </c>
      <c r="D64" s="5">
        <v>9</v>
      </c>
      <c r="E64" s="5">
        <v>24</v>
      </c>
      <c r="F64" s="5">
        <v>5</v>
      </c>
    </row>
    <row r="65" spans="1:6" x14ac:dyDescent="0.3">
      <c r="A65" s="5" t="s">
        <v>58</v>
      </c>
      <c r="B65" s="5" t="s">
        <v>6</v>
      </c>
      <c r="C65" s="5">
        <v>0</v>
      </c>
      <c r="D65" s="5">
        <v>0</v>
      </c>
      <c r="E65" s="5">
        <v>0</v>
      </c>
      <c r="F65" s="5">
        <v>0</v>
      </c>
    </row>
    <row r="66" spans="1:6" x14ac:dyDescent="0.3">
      <c r="A66" s="5" t="s">
        <v>1</v>
      </c>
      <c r="B66" s="5" t="s">
        <v>2</v>
      </c>
      <c r="C66" s="5" t="s">
        <v>3</v>
      </c>
      <c r="D66" s="5" t="s">
        <v>4</v>
      </c>
      <c r="E66" s="5" t="s">
        <v>5</v>
      </c>
      <c r="F66" s="5" t="s">
        <v>26</v>
      </c>
    </row>
    <row r="67" spans="1:6" x14ac:dyDescent="0.3">
      <c r="A67" s="5" t="s">
        <v>59</v>
      </c>
      <c r="B67" s="5" t="s">
        <v>59</v>
      </c>
      <c r="C67" s="5">
        <v>9114.6280000000006</v>
      </c>
      <c r="D67" s="5">
        <v>68</v>
      </c>
      <c r="E67" s="5">
        <v>438</v>
      </c>
      <c r="F67" s="5">
        <v>65</v>
      </c>
    </row>
    <row r="68" spans="1:6" x14ac:dyDescent="0.3">
      <c r="A68" s="5" t="s">
        <v>59</v>
      </c>
      <c r="B68" s="5" t="s">
        <v>40</v>
      </c>
      <c r="C68" s="5">
        <v>5099.3599999999997</v>
      </c>
      <c r="D68" s="5">
        <v>10</v>
      </c>
      <c r="E68" s="5">
        <v>212</v>
      </c>
      <c r="F68" s="5">
        <v>35</v>
      </c>
    </row>
    <row r="69" spans="1:6" x14ac:dyDescent="0.3">
      <c r="A69" s="5" t="s">
        <v>59</v>
      </c>
      <c r="B69" s="5" t="s">
        <v>41</v>
      </c>
      <c r="C69" s="5">
        <v>4015.268</v>
      </c>
      <c r="D69" s="5">
        <v>58</v>
      </c>
      <c r="E69" s="5">
        <v>226</v>
      </c>
      <c r="F69" s="5">
        <v>35</v>
      </c>
    </row>
    <row r="70" spans="1:6" x14ac:dyDescent="0.3">
      <c r="A70" s="5" t="s">
        <v>59</v>
      </c>
      <c r="B70" s="5" t="s">
        <v>6</v>
      </c>
      <c r="C70" s="5">
        <v>0</v>
      </c>
      <c r="D70" s="5">
        <v>0</v>
      </c>
      <c r="E70" s="5">
        <v>0</v>
      </c>
      <c r="F70" s="5">
        <v>0</v>
      </c>
    </row>
    <row r="71" spans="1:6" x14ac:dyDescent="0.3">
      <c r="A71" s="5" t="s">
        <v>1</v>
      </c>
      <c r="B71" s="5" t="s">
        <v>2</v>
      </c>
      <c r="C71" s="5" t="s">
        <v>3</v>
      </c>
      <c r="D71" s="5" t="s">
        <v>4</v>
      </c>
      <c r="E71" s="5" t="s">
        <v>5</v>
      </c>
      <c r="F71" s="5" t="s">
        <v>26</v>
      </c>
    </row>
    <row r="72" spans="1:6" x14ac:dyDescent="0.3">
      <c r="A72" s="5" t="s">
        <v>60</v>
      </c>
      <c r="B72" s="5" t="s">
        <v>60</v>
      </c>
      <c r="C72" s="5">
        <v>2717.9749999999999</v>
      </c>
      <c r="D72" s="5">
        <v>7</v>
      </c>
      <c r="E72" s="5">
        <v>37</v>
      </c>
      <c r="F72" s="5">
        <v>10</v>
      </c>
    </row>
    <row r="73" spans="1:6" x14ac:dyDescent="0.3">
      <c r="A73" s="5" t="s">
        <v>60</v>
      </c>
      <c r="B73" s="5" t="s">
        <v>6</v>
      </c>
      <c r="C73" s="5">
        <v>2717.9749999999999</v>
      </c>
      <c r="D73" s="5">
        <v>7</v>
      </c>
      <c r="E73" s="5">
        <v>37</v>
      </c>
      <c r="F73" s="5">
        <v>10</v>
      </c>
    </row>
    <row r="74" spans="1:6" x14ac:dyDescent="0.3">
      <c r="A74" s="5" t="s">
        <v>1</v>
      </c>
      <c r="B74" s="5" t="s">
        <v>2</v>
      </c>
      <c r="C74" s="5" t="s">
        <v>3</v>
      </c>
      <c r="D74" s="5" t="s">
        <v>4</v>
      </c>
      <c r="E74" s="5" t="s">
        <v>5</v>
      </c>
      <c r="F74" s="5" t="s">
        <v>26</v>
      </c>
    </row>
    <row r="75" spans="1:6" x14ac:dyDescent="0.3">
      <c r="A75" s="5" t="s">
        <v>61</v>
      </c>
      <c r="B75" s="5" t="s">
        <v>61</v>
      </c>
      <c r="C75" s="5">
        <v>5242.125</v>
      </c>
      <c r="D75" s="5">
        <v>34</v>
      </c>
      <c r="E75" s="5">
        <v>171</v>
      </c>
      <c r="F75" s="5">
        <v>25</v>
      </c>
    </row>
    <row r="76" spans="1:6" x14ac:dyDescent="0.3">
      <c r="A76" s="5" t="s">
        <v>61</v>
      </c>
      <c r="B76" s="5" t="s">
        <v>40</v>
      </c>
      <c r="C76" s="5">
        <v>3594.75</v>
      </c>
      <c r="D76" s="5">
        <v>4</v>
      </c>
      <c r="E76" s="5">
        <v>106</v>
      </c>
      <c r="F76" s="5">
        <v>20</v>
      </c>
    </row>
    <row r="77" spans="1:6" x14ac:dyDescent="0.3">
      <c r="A77" s="5" t="s">
        <v>61</v>
      </c>
      <c r="B77" s="5" t="s">
        <v>41</v>
      </c>
      <c r="C77" s="5">
        <v>1647.375</v>
      </c>
      <c r="D77" s="5">
        <v>30</v>
      </c>
      <c r="E77" s="5">
        <v>65</v>
      </c>
      <c r="F77" s="5">
        <v>10</v>
      </c>
    </row>
    <row r="78" spans="1:6" x14ac:dyDescent="0.3">
      <c r="A78" s="5" t="s">
        <v>61</v>
      </c>
      <c r="B78" s="5" t="s">
        <v>6</v>
      </c>
      <c r="C78" s="5">
        <v>0</v>
      </c>
      <c r="D78" s="5">
        <v>0</v>
      </c>
      <c r="E78" s="5">
        <v>0</v>
      </c>
      <c r="F78" s="5">
        <v>0</v>
      </c>
    </row>
    <row r="79" spans="1:6" x14ac:dyDescent="0.3">
      <c r="A79" s="5" t="s">
        <v>1</v>
      </c>
      <c r="B79" s="5" t="s">
        <v>2</v>
      </c>
      <c r="C79" s="5" t="s">
        <v>3</v>
      </c>
      <c r="D79" s="5" t="s">
        <v>4</v>
      </c>
      <c r="E79" s="5" t="s">
        <v>5</v>
      </c>
      <c r="F79" s="5" t="s">
        <v>26</v>
      </c>
    </row>
    <row r="80" spans="1:6" x14ac:dyDescent="0.3">
      <c r="A80" s="5" t="s">
        <v>62</v>
      </c>
      <c r="B80" s="5" t="s">
        <v>62</v>
      </c>
      <c r="C80" s="5">
        <v>3191.1</v>
      </c>
      <c r="D80" s="5">
        <v>15</v>
      </c>
      <c r="E80" s="5">
        <v>60</v>
      </c>
      <c r="F80" s="5">
        <v>10</v>
      </c>
    </row>
    <row r="81" spans="1:6" x14ac:dyDescent="0.3">
      <c r="A81" s="5" t="s">
        <v>62</v>
      </c>
      <c r="B81" s="5" t="s">
        <v>40</v>
      </c>
      <c r="C81" s="5">
        <v>774.9</v>
      </c>
      <c r="D81" s="5">
        <v>2</v>
      </c>
      <c r="E81" s="5">
        <v>20</v>
      </c>
      <c r="F81" s="5">
        <v>5</v>
      </c>
    </row>
    <row r="82" spans="1:6" x14ac:dyDescent="0.3">
      <c r="A82" s="5" t="s">
        <v>62</v>
      </c>
      <c r="B82" s="5" t="s">
        <v>41</v>
      </c>
      <c r="C82" s="5">
        <v>2413.6999999999998</v>
      </c>
      <c r="D82" s="5">
        <v>13</v>
      </c>
      <c r="E82" s="5">
        <v>40</v>
      </c>
      <c r="F82" s="5">
        <v>10</v>
      </c>
    </row>
    <row r="83" spans="1:6" x14ac:dyDescent="0.3">
      <c r="A83" s="5" t="s">
        <v>62</v>
      </c>
      <c r="B83" s="5" t="s">
        <v>6</v>
      </c>
      <c r="C83" s="5">
        <v>0</v>
      </c>
      <c r="D83" s="5">
        <v>0</v>
      </c>
      <c r="E83" s="5">
        <v>0</v>
      </c>
      <c r="F83" s="5">
        <v>0</v>
      </c>
    </row>
    <row r="84" spans="1:6" x14ac:dyDescent="0.3">
      <c r="A84" s="5" t="s">
        <v>1</v>
      </c>
      <c r="B84" s="5" t="s">
        <v>2</v>
      </c>
      <c r="C84" s="5" t="s">
        <v>3</v>
      </c>
      <c r="D84" s="5" t="s">
        <v>4</v>
      </c>
      <c r="E84" s="5" t="s">
        <v>5</v>
      </c>
      <c r="F84" s="5" t="s">
        <v>26</v>
      </c>
    </row>
    <row r="85" spans="1:6" x14ac:dyDescent="0.3">
      <c r="A85" s="5" t="s">
        <v>63</v>
      </c>
      <c r="B85" s="5" t="s">
        <v>63</v>
      </c>
      <c r="C85" s="5">
        <v>25298.760999999999</v>
      </c>
      <c r="D85" s="5">
        <v>138</v>
      </c>
      <c r="E85" s="5">
        <v>855</v>
      </c>
      <c r="F85" s="5">
        <v>125</v>
      </c>
    </row>
    <row r="86" spans="1:6" x14ac:dyDescent="0.3">
      <c r="A86" s="5" t="s">
        <v>63</v>
      </c>
      <c r="B86" s="5" t="s">
        <v>40</v>
      </c>
      <c r="C86" s="5">
        <v>12067.125</v>
      </c>
      <c r="D86" s="5">
        <v>20</v>
      </c>
      <c r="E86" s="5">
        <v>337</v>
      </c>
      <c r="F86" s="5">
        <v>50</v>
      </c>
    </row>
    <row r="87" spans="1:6" x14ac:dyDescent="0.3">
      <c r="A87" s="5" t="s">
        <v>63</v>
      </c>
      <c r="B87" s="5" t="s">
        <v>41</v>
      </c>
      <c r="C87" s="5">
        <v>1655.69</v>
      </c>
      <c r="D87" s="5">
        <v>1</v>
      </c>
      <c r="E87" s="5">
        <v>50</v>
      </c>
      <c r="F87" s="5">
        <v>10</v>
      </c>
    </row>
    <row r="88" spans="1:6" x14ac:dyDescent="0.3">
      <c r="A88" s="5" t="s">
        <v>63</v>
      </c>
      <c r="B88" s="5" t="s">
        <v>42</v>
      </c>
      <c r="C88" s="5">
        <v>11575.945999999998</v>
      </c>
      <c r="D88" s="5">
        <v>117</v>
      </c>
      <c r="E88" s="5">
        <v>468</v>
      </c>
      <c r="F88" s="5">
        <v>70</v>
      </c>
    </row>
    <row r="89" spans="1:6" x14ac:dyDescent="0.3">
      <c r="A89" s="5" t="s">
        <v>63</v>
      </c>
      <c r="B89" s="5" t="s">
        <v>6</v>
      </c>
      <c r="C89" s="5">
        <v>0</v>
      </c>
      <c r="D89" s="5">
        <v>0</v>
      </c>
      <c r="E89" s="5">
        <v>0</v>
      </c>
      <c r="F89" s="5">
        <v>0</v>
      </c>
    </row>
    <row r="90" spans="1:6" x14ac:dyDescent="0.3">
      <c r="A90" s="5" t="s">
        <v>1</v>
      </c>
      <c r="B90" s="5" t="s">
        <v>2</v>
      </c>
      <c r="C90" s="5" t="s">
        <v>3</v>
      </c>
      <c r="D90" s="5" t="s">
        <v>4</v>
      </c>
      <c r="E90" s="5" t="s">
        <v>5</v>
      </c>
      <c r="F90" s="5" t="s">
        <v>26</v>
      </c>
    </row>
    <row r="91" spans="1:6" x14ac:dyDescent="0.3">
      <c r="A91" s="5" t="s">
        <v>64</v>
      </c>
      <c r="B91" s="5" t="s">
        <v>64</v>
      </c>
      <c r="C91" s="5">
        <v>880.32500000000005</v>
      </c>
      <c r="D91" s="5">
        <v>9</v>
      </c>
      <c r="E91" s="5">
        <v>39</v>
      </c>
      <c r="F91" s="5">
        <v>10</v>
      </c>
    </row>
    <row r="92" spans="1:6" x14ac:dyDescent="0.3">
      <c r="A92" s="5" t="s">
        <v>64</v>
      </c>
      <c r="B92" s="5" t="s">
        <v>6</v>
      </c>
      <c r="C92" s="5">
        <v>880.32500000000005</v>
      </c>
      <c r="D92" s="5">
        <v>9</v>
      </c>
      <c r="E92" s="5">
        <v>39</v>
      </c>
      <c r="F92" s="5">
        <v>10</v>
      </c>
    </row>
    <row r="93" spans="1:6" x14ac:dyDescent="0.3">
      <c r="A93" s="5" t="s">
        <v>1</v>
      </c>
      <c r="B93" s="5" t="s">
        <v>2</v>
      </c>
      <c r="C93" s="5" t="s">
        <v>3</v>
      </c>
      <c r="D93" s="5" t="s">
        <v>4</v>
      </c>
      <c r="E93" s="5" t="s">
        <v>5</v>
      </c>
      <c r="F93" s="5" t="s">
        <v>26</v>
      </c>
    </row>
    <row r="94" spans="1:6" x14ac:dyDescent="0.3">
      <c r="A94" s="5" t="s">
        <v>65</v>
      </c>
      <c r="B94" s="5" t="s">
        <v>65</v>
      </c>
      <c r="C94" s="5">
        <v>366.86</v>
      </c>
      <c r="D94" s="5">
        <v>3</v>
      </c>
      <c r="E94" s="5">
        <v>17</v>
      </c>
      <c r="F94" s="5">
        <v>5</v>
      </c>
    </row>
    <row r="95" spans="1:6" x14ac:dyDescent="0.3">
      <c r="A95" s="5" t="s">
        <v>65</v>
      </c>
      <c r="B95" s="5" t="s">
        <v>6</v>
      </c>
      <c r="C95" s="5">
        <v>366.86</v>
      </c>
      <c r="D95" s="5">
        <v>3</v>
      </c>
      <c r="E95" s="5">
        <v>17</v>
      </c>
      <c r="F95" s="5">
        <v>5</v>
      </c>
    </row>
    <row r="96" spans="1:6" x14ac:dyDescent="0.3">
      <c r="A96" s="5" t="s">
        <v>1</v>
      </c>
      <c r="B96" s="5" t="s">
        <v>2</v>
      </c>
      <c r="C96" s="5" t="s">
        <v>3</v>
      </c>
      <c r="D96" s="5" t="s">
        <v>4</v>
      </c>
      <c r="E96" s="5" t="s">
        <v>5</v>
      </c>
      <c r="F96" s="5" t="s">
        <v>26</v>
      </c>
    </row>
    <row r="97" spans="1:6" x14ac:dyDescent="0.3">
      <c r="A97" s="5" t="s">
        <v>24</v>
      </c>
      <c r="B97" s="5" t="s">
        <v>24</v>
      </c>
      <c r="C97" s="5">
        <v>226.59</v>
      </c>
      <c r="D97" s="5">
        <v>6</v>
      </c>
      <c r="E97" s="5">
        <v>13</v>
      </c>
      <c r="F97" s="5">
        <v>5</v>
      </c>
    </row>
    <row r="98" spans="1:6" x14ac:dyDescent="0.3">
      <c r="A98" s="5" t="s">
        <v>24</v>
      </c>
      <c r="B98" s="5" t="s">
        <v>6</v>
      </c>
      <c r="C98" s="5">
        <v>226.59</v>
      </c>
      <c r="D98" s="5">
        <v>6</v>
      </c>
      <c r="E98" s="5">
        <v>13</v>
      </c>
      <c r="F98" s="5">
        <v>5</v>
      </c>
    </row>
    <row r="99" spans="1:6" x14ac:dyDescent="0.3">
      <c r="A99" s="5" t="s">
        <v>1</v>
      </c>
      <c r="B99" s="5" t="s">
        <v>2</v>
      </c>
      <c r="C99" s="5" t="s">
        <v>3</v>
      </c>
      <c r="D99" s="5" t="s">
        <v>4</v>
      </c>
      <c r="E99" s="5" t="s">
        <v>5</v>
      </c>
      <c r="F99" s="5" t="s">
        <v>26</v>
      </c>
    </row>
    <row r="100" spans="1:6" x14ac:dyDescent="0.3">
      <c r="A100" s="5" t="s">
        <v>25</v>
      </c>
      <c r="B100" s="5" t="s">
        <v>25</v>
      </c>
      <c r="C100" s="5">
        <v>252.45</v>
      </c>
      <c r="D100" s="5">
        <v>4</v>
      </c>
      <c r="E100" s="5">
        <v>11</v>
      </c>
      <c r="F100" s="5">
        <v>5</v>
      </c>
    </row>
    <row r="101" spans="1:6" x14ac:dyDescent="0.3">
      <c r="A101" s="5" t="s">
        <v>25</v>
      </c>
      <c r="B101" s="5" t="s">
        <v>6</v>
      </c>
      <c r="C101" s="5">
        <v>252.45</v>
      </c>
      <c r="D101" s="5">
        <v>4</v>
      </c>
      <c r="E101" s="5">
        <v>11</v>
      </c>
      <c r="F101" s="5">
        <v>5</v>
      </c>
    </row>
    <row r="102" spans="1:6" x14ac:dyDescent="0.3">
      <c r="A102" s="5" t="s">
        <v>1</v>
      </c>
      <c r="B102" s="5" t="s">
        <v>2</v>
      </c>
      <c r="C102" s="5" t="s">
        <v>3</v>
      </c>
      <c r="D102" s="5" t="s">
        <v>4</v>
      </c>
      <c r="E102" s="5" t="s">
        <v>5</v>
      </c>
      <c r="F102" s="5" t="s">
        <v>26</v>
      </c>
    </row>
    <row r="103" spans="1:6" x14ac:dyDescent="0.3">
      <c r="A103" s="5" t="s">
        <v>66</v>
      </c>
      <c r="B103" s="5" t="s">
        <v>66</v>
      </c>
      <c r="C103" s="5">
        <v>781.38</v>
      </c>
      <c r="D103" s="5">
        <v>8</v>
      </c>
      <c r="E103" s="5">
        <v>36</v>
      </c>
      <c r="F103" s="5">
        <v>10</v>
      </c>
    </row>
    <row r="104" spans="1:6" x14ac:dyDescent="0.3">
      <c r="A104" s="5" t="s">
        <v>66</v>
      </c>
      <c r="B104" s="5" t="s">
        <v>6</v>
      </c>
      <c r="C104" s="5">
        <v>781.38</v>
      </c>
      <c r="D104" s="5">
        <v>8</v>
      </c>
      <c r="E104" s="5">
        <v>36</v>
      </c>
      <c r="F104" s="5">
        <v>10</v>
      </c>
    </row>
    <row r="105" spans="1:6" x14ac:dyDescent="0.3">
      <c r="A105" s="5" t="s">
        <v>1</v>
      </c>
      <c r="B105" s="5" t="s">
        <v>2</v>
      </c>
      <c r="C105" s="5" t="s">
        <v>3</v>
      </c>
      <c r="D105" s="5" t="s">
        <v>4</v>
      </c>
      <c r="E105" s="5" t="s">
        <v>5</v>
      </c>
      <c r="F105" s="5" t="s">
        <v>26</v>
      </c>
    </row>
    <row r="106" spans="1:6" x14ac:dyDescent="0.3">
      <c r="A106" s="5" t="s">
        <v>67</v>
      </c>
      <c r="B106" s="5" t="s">
        <v>67</v>
      </c>
      <c r="C106" s="5">
        <v>385.42499999999995</v>
      </c>
      <c r="D106" s="5">
        <v>3</v>
      </c>
      <c r="E106" s="5">
        <v>18</v>
      </c>
      <c r="F106" s="5">
        <v>5</v>
      </c>
    </row>
    <row r="107" spans="1:6" x14ac:dyDescent="0.3">
      <c r="A107" s="5" t="s">
        <v>67</v>
      </c>
      <c r="B107" s="5" t="s">
        <v>6</v>
      </c>
      <c r="C107" s="5">
        <v>385.42499999999995</v>
      </c>
      <c r="D107" s="5">
        <v>3</v>
      </c>
      <c r="E107" s="5">
        <v>18</v>
      </c>
      <c r="F107" s="5">
        <v>5</v>
      </c>
    </row>
    <row r="108" spans="1:6" x14ac:dyDescent="0.3">
      <c r="A108" s="5" t="s">
        <v>1</v>
      </c>
      <c r="B108" s="5" t="s">
        <v>2</v>
      </c>
      <c r="C108" s="5" t="s">
        <v>3</v>
      </c>
      <c r="D108" s="5" t="s">
        <v>4</v>
      </c>
      <c r="E108" s="5" t="s">
        <v>5</v>
      </c>
      <c r="F108" s="5" t="s">
        <v>26</v>
      </c>
    </row>
    <row r="109" spans="1:6" x14ac:dyDescent="0.3">
      <c r="A109" s="5" t="s">
        <v>68</v>
      </c>
      <c r="B109" s="5" t="s">
        <v>68</v>
      </c>
      <c r="C109" s="5">
        <v>1481.2750000000001</v>
      </c>
      <c r="D109" s="5">
        <v>8</v>
      </c>
      <c r="E109" s="5">
        <v>71</v>
      </c>
      <c r="F109" s="5">
        <v>15</v>
      </c>
    </row>
    <row r="110" spans="1:6" x14ac:dyDescent="0.3">
      <c r="A110" s="5" t="s">
        <v>68</v>
      </c>
      <c r="B110" s="5" t="s">
        <v>6</v>
      </c>
      <c r="C110" s="5">
        <v>1481.2750000000001</v>
      </c>
      <c r="D110" s="5">
        <v>8</v>
      </c>
      <c r="E110" s="5">
        <v>71</v>
      </c>
      <c r="F110" s="5">
        <v>15</v>
      </c>
    </row>
    <row r="111" spans="1:6" x14ac:dyDescent="0.3">
      <c r="A111" s="5" t="s">
        <v>1</v>
      </c>
      <c r="B111" s="5" t="s">
        <v>2</v>
      </c>
      <c r="C111" s="5" t="s">
        <v>3</v>
      </c>
      <c r="D111" s="5" t="s">
        <v>4</v>
      </c>
      <c r="E111" s="5" t="s">
        <v>5</v>
      </c>
      <c r="F111" s="5" t="s">
        <v>26</v>
      </c>
    </row>
    <row r="112" spans="1:6" x14ac:dyDescent="0.3">
      <c r="A112" s="5" t="s">
        <v>69</v>
      </c>
      <c r="B112" s="5" t="s">
        <v>69</v>
      </c>
      <c r="C112" s="5">
        <v>34096.455000000002</v>
      </c>
      <c r="D112" s="5">
        <v>116</v>
      </c>
      <c r="E112" s="5">
        <v>808</v>
      </c>
      <c r="F112" s="5">
        <v>120</v>
      </c>
    </row>
    <row r="113" spans="1:6" x14ac:dyDescent="0.3">
      <c r="A113" s="5" t="s">
        <v>69</v>
      </c>
      <c r="B113" s="5" t="s">
        <v>40</v>
      </c>
      <c r="C113" s="5">
        <v>2077.4</v>
      </c>
      <c r="D113" s="5">
        <v>8</v>
      </c>
      <c r="E113" s="5">
        <v>50</v>
      </c>
      <c r="F113" s="5">
        <v>10</v>
      </c>
    </row>
    <row r="114" spans="1:6" x14ac:dyDescent="0.3">
      <c r="A114" s="5" t="s">
        <v>69</v>
      </c>
      <c r="B114" s="5" t="s">
        <v>41</v>
      </c>
      <c r="C114" s="5">
        <v>13790.48</v>
      </c>
      <c r="D114" s="5">
        <v>48</v>
      </c>
      <c r="E114" s="5">
        <v>349</v>
      </c>
      <c r="F114" s="5">
        <v>50</v>
      </c>
    </row>
    <row r="115" spans="1:6" x14ac:dyDescent="0.3">
      <c r="A115" s="5" t="s">
        <v>69</v>
      </c>
      <c r="B115" s="5" t="s">
        <v>42</v>
      </c>
      <c r="C115" s="5">
        <v>11721.8</v>
      </c>
      <c r="D115" s="5">
        <v>16</v>
      </c>
      <c r="E115" s="5">
        <v>244</v>
      </c>
      <c r="F115" s="5">
        <v>35</v>
      </c>
    </row>
    <row r="116" spans="1:6" x14ac:dyDescent="0.3">
      <c r="A116" s="5" t="s">
        <v>69</v>
      </c>
      <c r="B116" s="5" t="s">
        <v>43</v>
      </c>
      <c r="C116" s="5">
        <v>6506.7750000000005</v>
      </c>
      <c r="D116" s="5">
        <v>44</v>
      </c>
      <c r="E116" s="5">
        <v>165</v>
      </c>
      <c r="F116" s="5">
        <v>25</v>
      </c>
    </row>
    <row r="117" spans="1:6" x14ac:dyDescent="0.3">
      <c r="A117" s="5" t="s">
        <v>69</v>
      </c>
      <c r="B117" s="5" t="s">
        <v>6</v>
      </c>
      <c r="C117" s="5">
        <v>0</v>
      </c>
      <c r="D117" s="5">
        <v>0</v>
      </c>
      <c r="E117" s="5">
        <v>0</v>
      </c>
      <c r="F117" s="5">
        <v>0</v>
      </c>
    </row>
    <row r="118" spans="1:6" x14ac:dyDescent="0.3">
      <c r="A118" s="5" t="s">
        <v>1</v>
      </c>
      <c r="B118" s="5" t="s">
        <v>2</v>
      </c>
      <c r="C118" s="5" t="s">
        <v>3</v>
      </c>
      <c r="D118" s="5" t="s">
        <v>4</v>
      </c>
      <c r="E118" s="5" t="s">
        <v>5</v>
      </c>
      <c r="F118" s="5" t="s">
        <v>26</v>
      </c>
    </row>
    <row r="119" spans="1:6" x14ac:dyDescent="0.3">
      <c r="A119" s="5" t="s">
        <v>70</v>
      </c>
      <c r="B119" s="5" t="s">
        <v>70</v>
      </c>
      <c r="C119" s="5">
        <v>5490.487000000001</v>
      </c>
      <c r="D119" s="5">
        <v>49</v>
      </c>
      <c r="E119" s="5">
        <v>293</v>
      </c>
      <c r="F119" s="5">
        <v>45</v>
      </c>
    </row>
    <row r="120" spans="1:6" x14ac:dyDescent="0.3">
      <c r="A120" s="5" t="s">
        <v>70</v>
      </c>
      <c r="B120" s="5" t="s">
        <v>40</v>
      </c>
      <c r="C120" s="5">
        <v>2528.15</v>
      </c>
      <c r="D120" s="5">
        <v>3</v>
      </c>
      <c r="E120" s="5">
        <v>106</v>
      </c>
      <c r="F120" s="5">
        <v>20</v>
      </c>
    </row>
    <row r="121" spans="1:6" x14ac:dyDescent="0.3">
      <c r="A121" s="5" t="s">
        <v>70</v>
      </c>
      <c r="B121" s="5" t="s">
        <v>41</v>
      </c>
      <c r="C121" s="5">
        <v>2962.337</v>
      </c>
      <c r="D121" s="5">
        <v>46</v>
      </c>
      <c r="E121" s="5">
        <v>187</v>
      </c>
      <c r="F121" s="5">
        <v>30</v>
      </c>
    </row>
    <row r="122" spans="1:6" x14ac:dyDescent="0.3">
      <c r="A122" s="5" t="s">
        <v>70</v>
      </c>
      <c r="B122" s="5" t="s">
        <v>6</v>
      </c>
      <c r="C122" s="5">
        <v>0</v>
      </c>
      <c r="D122" s="5">
        <v>0</v>
      </c>
      <c r="E122" s="5">
        <v>0</v>
      </c>
      <c r="F122" s="5">
        <v>0</v>
      </c>
    </row>
    <row r="123" spans="1:6" x14ac:dyDescent="0.3">
      <c r="A123" s="5" t="s">
        <v>1</v>
      </c>
      <c r="B123" s="5" t="s">
        <v>2</v>
      </c>
      <c r="C123" s="5" t="s">
        <v>3</v>
      </c>
      <c r="D123" s="5" t="s">
        <v>4</v>
      </c>
      <c r="E123" s="5" t="s">
        <v>5</v>
      </c>
      <c r="F123" s="5" t="s">
        <v>26</v>
      </c>
    </row>
    <row r="124" spans="1:6" x14ac:dyDescent="0.3">
      <c r="A124" s="5" t="s">
        <v>71</v>
      </c>
      <c r="B124" s="5" t="s">
        <v>71</v>
      </c>
      <c r="C124" s="5">
        <v>21073.766</v>
      </c>
      <c r="D124" s="5">
        <v>90</v>
      </c>
      <c r="E124" s="5">
        <v>578</v>
      </c>
      <c r="F124" s="5">
        <v>85</v>
      </c>
    </row>
    <row r="125" spans="1:6" x14ac:dyDescent="0.3">
      <c r="A125" s="5" t="s">
        <v>71</v>
      </c>
      <c r="B125" s="5" t="s">
        <v>40</v>
      </c>
      <c r="C125" s="5">
        <v>5788.0950000000003</v>
      </c>
      <c r="D125" s="5">
        <v>9</v>
      </c>
      <c r="E125" s="5">
        <v>180</v>
      </c>
      <c r="F125" s="5">
        <v>30</v>
      </c>
    </row>
    <row r="126" spans="1:6" x14ac:dyDescent="0.3">
      <c r="A126" s="5" t="s">
        <v>71</v>
      </c>
      <c r="B126" s="5" t="s">
        <v>41</v>
      </c>
      <c r="C126" s="5">
        <v>13179.965</v>
      </c>
      <c r="D126" s="5">
        <v>73</v>
      </c>
      <c r="E126" s="5">
        <v>357</v>
      </c>
      <c r="F126" s="5">
        <v>55</v>
      </c>
    </row>
    <row r="127" spans="1:6" x14ac:dyDescent="0.3">
      <c r="A127" s="5" t="s">
        <v>71</v>
      </c>
      <c r="B127" s="5" t="s">
        <v>42</v>
      </c>
      <c r="C127" s="5">
        <v>2105.7060000000001</v>
      </c>
      <c r="D127" s="5">
        <v>8</v>
      </c>
      <c r="E127" s="5">
        <v>41</v>
      </c>
      <c r="F127" s="5">
        <v>10</v>
      </c>
    </row>
    <row r="128" spans="1:6" x14ac:dyDescent="0.3">
      <c r="A128" s="5" t="s">
        <v>71</v>
      </c>
      <c r="B128" s="5" t="s">
        <v>6</v>
      </c>
      <c r="C128" s="5">
        <v>0</v>
      </c>
      <c r="D128" s="5">
        <v>0</v>
      </c>
      <c r="E128" s="5">
        <v>0</v>
      </c>
      <c r="F128" s="5">
        <v>0</v>
      </c>
    </row>
    <row r="129" spans="1:6" x14ac:dyDescent="0.3">
      <c r="A129" s="5" t="s">
        <v>1</v>
      </c>
      <c r="B129" s="5" t="s">
        <v>2</v>
      </c>
      <c r="C129" s="5" t="s">
        <v>3</v>
      </c>
      <c r="D129" s="5" t="s">
        <v>4</v>
      </c>
      <c r="E129" s="5" t="s">
        <v>5</v>
      </c>
      <c r="F129" s="5" t="s">
        <v>26</v>
      </c>
    </row>
    <row r="130" spans="1:6" x14ac:dyDescent="0.3">
      <c r="A130" s="5" t="s">
        <v>72</v>
      </c>
      <c r="B130" s="5" t="s">
        <v>72</v>
      </c>
      <c r="C130" s="5">
        <v>3232.8249999999998</v>
      </c>
      <c r="D130" s="5">
        <v>19</v>
      </c>
      <c r="E130" s="5">
        <v>89</v>
      </c>
      <c r="F130" s="5">
        <v>15</v>
      </c>
    </row>
    <row r="131" spans="1:6" x14ac:dyDescent="0.3">
      <c r="A131" s="5" t="s">
        <v>72</v>
      </c>
      <c r="B131" s="5" t="s">
        <v>40</v>
      </c>
      <c r="C131" s="5">
        <v>1549.5500000000002</v>
      </c>
      <c r="D131" s="5">
        <v>4</v>
      </c>
      <c r="E131" s="5">
        <v>46</v>
      </c>
      <c r="F131" s="5">
        <v>10</v>
      </c>
    </row>
    <row r="132" spans="1:6" x14ac:dyDescent="0.3">
      <c r="A132" s="5" t="s">
        <v>72</v>
      </c>
      <c r="B132" s="5" t="s">
        <v>41</v>
      </c>
      <c r="C132" s="5">
        <v>792.3</v>
      </c>
      <c r="D132" s="5">
        <v>6</v>
      </c>
      <c r="E132" s="5">
        <v>19</v>
      </c>
      <c r="F132" s="5">
        <v>5</v>
      </c>
    </row>
    <row r="133" spans="1:6" x14ac:dyDescent="0.3">
      <c r="A133" s="5" t="s">
        <v>72</v>
      </c>
      <c r="B133" s="5" t="s">
        <v>42</v>
      </c>
      <c r="C133" s="5">
        <v>885.6</v>
      </c>
      <c r="D133" s="5">
        <v>9</v>
      </c>
      <c r="E133" s="5">
        <v>24</v>
      </c>
      <c r="F133" s="5">
        <v>5</v>
      </c>
    </row>
    <row r="134" spans="1:6" x14ac:dyDescent="0.3">
      <c r="A134" s="5" t="s">
        <v>72</v>
      </c>
      <c r="B134" s="5" t="s">
        <v>6</v>
      </c>
      <c r="C134" s="5">
        <v>0</v>
      </c>
      <c r="D134" s="5">
        <v>0</v>
      </c>
      <c r="E134" s="5">
        <v>0</v>
      </c>
      <c r="F134" s="5">
        <v>0</v>
      </c>
    </row>
    <row r="135" spans="1:6" x14ac:dyDescent="0.3">
      <c r="A135" s="5" t="s">
        <v>1</v>
      </c>
      <c r="B135" s="5" t="s">
        <v>2</v>
      </c>
      <c r="C135" s="5" t="s">
        <v>3</v>
      </c>
      <c r="D135" s="5" t="s">
        <v>4</v>
      </c>
      <c r="E135" s="5" t="s">
        <v>5</v>
      </c>
      <c r="F135" s="5" t="s">
        <v>26</v>
      </c>
    </row>
    <row r="136" spans="1:6" x14ac:dyDescent="0.3">
      <c r="A136" s="5" t="s">
        <v>73</v>
      </c>
      <c r="B136" s="5" t="s">
        <v>73</v>
      </c>
      <c r="C136" s="5">
        <v>7916.5250000000005</v>
      </c>
      <c r="D136" s="5">
        <v>67</v>
      </c>
      <c r="E136" s="5">
        <v>427</v>
      </c>
      <c r="F136" s="5">
        <v>65</v>
      </c>
    </row>
    <row r="137" spans="1:6" x14ac:dyDescent="0.3">
      <c r="A137" s="5" t="s">
        <v>73</v>
      </c>
      <c r="B137" s="5" t="s">
        <v>40</v>
      </c>
      <c r="C137" s="5">
        <v>4600.13</v>
      </c>
      <c r="D137" s="5">
        <v>10</v>
      </c>
      <c r="E137" s="5">
        <v>212</v>
      </c>
      <c r="F137" s="5">
        <v>35</v>
      </c>
    </row>
    <row r="138" spans="1:6" x14ac:dyDescent="0.3">
      <c r="A138" s="5" t="s">
        <v>73</v>
      </c>
      <c r="B138" s="5" t="s">
        <v>41</v>
      </c>
      <c r="C138" s="5">
        <v>3316.395</v>
      </c>
      <c r="D138" s="5">
        <v>57</v>
      </c>
      <c r="E138" s="5">
        <v>215</v>
      </c>
      <c r="F138" s="5">
        <v>35</v>
      </c>
    </row>
    <row r="139" spans="1:6" x14ac:dyDescent="0.3">
      <c r="A139" s="5" t="s">
        <v>73</v>
      </c>
      <c r="B139" s="5" t="s">
        <v>6</v>
      </c>
      <c r="C139" s="5">
        <v>0</v>
      </c>
      <c r="D139" s="5">
        <v>0</v>
      </c>
      <c r="E139" s="5">
        <v>0</v>
      </c>
      <c r="F139" s="5">
        <v>0</v>
      </c>
    </row>
    <row r="140" spans="1:6" x14ac:dyDescent="0.3">
      <c r="A140" s="5" t="s">
        <v>1</v>
      </c>
      <c r="B140" s="5" t="s">
        <v>2</v>
      </c>
      <c r="C140" s="5" t="s">
        <v>3</v>
      </c>
      <c r="D140" s="5" t="s">
        <v>4</v>
      </c>
      <c r="E140" s="5" t="s">
        <v>5</v>
      </c>
      <c r="F140" s="5" t="s">
        <v>26</v>
      </c>
    </row>
    <row r="141" spans="1:6" x14ac:dyDescent="0.3">
      <c r="A141" s="5" t="s">
        <v>74</v>
      </c>
      <c r="B141" s="5" t="s">
        <v>74</v>
      </c>
      <c r="C141" s="5">
        <v>4691.4770000000008</v>
      </c>
      <c r="D141" s="5">
        <v>28</v>
      </c>
      <c r="E141" s="5">
        <v>127</v>
      </c>
      <c r="F141" s="5">
        <v>20</v>
      </c>
    </row>
    <row r="142" spans="1:6" x14ac:dyDescent="0.3">
      <c r="A142" s="5" t="s">
        <v>74</v>
      </c>
      <c r="B142" s="5" t="s">
        <v>40</v>
      </c>
      <c r="C142" s="5">
        <v>2389.4749999999999</v>
      </c>
      <c r="D142" s="5">
        <v>5</v>
      </c>
      <c r="E142" s="5">
        <v>67</v>
      </c>
      <c r="F142" s="5">
        <v>10</v>
      </c>
    </row>
    <row r="143" spans="1:6" x14ac:dyDescent="0.3">
      <c r="A143" s="5" t="s">
        <v>74</v>
      </c>
      <c r="B143" s="5" t="s">
        <v>41</v>
      </c>
      <c r="C143" s="5">
        <v>1243.44</v>
      </c>
      <c r="D143" s="5">
        <v>10</v>
      </c>
      <c r="E143" s="5">
        <v>28</v>
      </c>
      <c r="F143" s="5">
        <v>5</v>
      </c>
    </row>
    <row r="144" spans="1:6" x14ac:dyDescent="0.3">
      <c r="A144" s="5" t="s">
        <v>74</v>
      </c>
      <c r="B144" s="5" t="s">
        <v>42</v>
      </c>
      <c r="C144" s="5">
        <v>1055.0619999999999</v>
      </c>
      <c r="D144" s="5">
        <v>13</v>
      </c>
      <c r="E144" s="5">
        <v>32</v>
      </c>
      <c r="F144" s="5">
        <v>5</v>
      </c>
    </row>
    <row r="145" spans="1:6" x14ac:dyDescent="0.3">
      <c r="A145" s="5" t="s">
        <v>74</v>
      </c>
      <c r="B145" s="5" t="s">
        <v>6</v>
      </c>
      <c r="C145" s="5">
        <v>0</v>
      </c>
      <c r="D145" s="5">
        <v>0</v>
      </c>
      <c r="E145" s="5">
        <v>0</v>
      </c>
      <c r="F145" s="5">
        <v>0</v>
      </c>
    </row>
    <row r="146" spans="1:6" x14ac:dyDescent="0.3">
      <c r="A146" s="5" t="s">
        <v>1</v>
      </c>
      <c r="B146" s="5" t="s">
        <v>2</v>
      </c>
      <c r="C146" s="5" t="s">
        <v>3</v>
      </c>
      <c r="D146" s="5" t="s">
        <v>4</v>
      </c>
      <c r="E146" s="5" t="s">
        <v>5</v>
      </c>
      <c r="F146" s="5" t="s">
        <v>26</v>
      </c>
    </row>
    <row r="147" spans="1:6" x14ac:dyDescent="0.3">
      <c r="A147" s="5" t="s">
        <v>75</v>
      </c>
      <c r="B147" s="5" t="s">
        <v>75</v>
      </c>
      <c r="C147" s="5">
        <v>17967.805</v>
      </c>
      <c r="D147" s="5">
        <v>85</v>
      </c>
      <c r="E147" s="5">
        <v>525</v>
      </c>
      <c r="F147" s="5">
        <v>75</v>
      </c>
    </row>
    <row r="148" spans="1:6" x14ac:dyDescent="0.3">
      <c r="A148" s="5" t="s">
        <v>75</v>
      </c>
      <c r="B148" s="5" t="s">
        <v>40</v>
      </c>
      <c r="C148" s="5">
        <v>8142.51</v>
      </c>
      <c r="D148" s="5">
        <v>10</v>
      </c>
      <c r="E148" s="5">
        <v>230</v>
      </c>
      <c r="F148" s="5">
        <v>35</v>
      </c>
    </row>
    <row r="149" spans="1:6" x14ac:dyDescent="0.3">
      <c r="A149" s="5" t="s">
        <v>75</v>
      </c>
      <c r="B149" s="5" t="s">
        <v>41</v>
      </c>
      <c r="C149" s="5">
        <v>9825.2950000000001</v>
      </c>
      <c r="D149" s="5">
        <v>75</v>
      </c>
      <c r="E149" s="5">
        <v>295</v>
      </c>
      <c r="F149" s="5">
        <v>45</v>
      </c>
    </row>
    <row r="150" spans="1:6" x14ac:dyDescent="0.3">
      <c r="A150" s="5" t="s">
        <v>75</v>
      </c>
      <c r="B150" s="5" t="s">
        <v>6</v>
      </c>
      <c r="C150" s="5">
        <v>0</v>
      </c>
      <c r="D150" s="5">
        <v>0</v>
      </c>
      <c r="E150" s="5">
        <v>0</v>
      </c>
      <c r="F150" s="5">
        <v>0</v>
      </c>
    </row>
    <row r="151" spans="1:6" x14ac:dyDescent="0.3">
      <c r="A151" s="5" t="s">
        <v>1</v>
      </c>
      <c r="B151" s="5" t="s">
        <v>2</v>
      </c>
      <c r="C151" s="5" t="s">
        <v>3</v>
      </c>
      <c r="D151" s="5" t="s">
        <v>4</v>
      </c>
      <c r="E151" s="5" t="s">
        <v>5</v>
      </c>
      <c r="F151" s="5" t="s">
        <v>26</v>
      </c>
    </row>
    <row r="152" spans="1:6" x14ac:dyDescent="0.3">
      <c r="A152" s="5" t="s">
        <v>76</v>
      </c>
      <c r="B152" s="5" t="s">
        <v>76</v>
      </c>
      <c r="C152" s="5">
        <v>5362.55</v>
      </c>
      <c r="D152" s="5">
        <v>31</v>
      </c>
      <c r="E152" s="5">
        <v>158</v>
      </c>
      <c r="F152" s="5">
        <v>25</v>
      </c>
    </row>
    <row r="153" spans="1:6" x14ac:dyDescent="0.3">
      <c r="A153" s="5" t="s">
        <v>76</v>
      </c>
      <c r="B153" s="5" t="s">
        <v>40</v>
      </c>
      <c r="C153" s="5">
        <v>2522.3199999999997</v>
      </c>
      <c r="D153" s="5">
        <v>7</v>
      </c>
      <c r="E153" s="5">
        <v>72</v>
      </c>
      <c r="F153" s="5">
        <v>15</v>
      </c>
    </row>
    <row r="154" spans="1:6" x14ac:dyDescent="0.3">
      <c r="A154" s="5" t="s">
        <v>76</v>
      </c>
      <c r="B154" s="5" t="s">
        <v>41</v>
      </c>
      <c r="C154" s="5">
        <v>2840.23</v>
      </c>
      <c r="D154" s="5">
        <v>24</v>
      </c>
      <c r="E154" s="5">
        <v>86</v>
      </c>
      <c r="F154" s="5">
        <v>15</v>
      </c>
    </row>
    <row r="155" spans="1:6" x14ac:dyDescent="0.3">
      <c r="A155" s="5" t="s">
        <v>76</v>
      </c>
      <c r="B155" s="5" t="s">
        <v>6</v>
      </c>
      <c r="C155" s="5">
        <v>0</v>
      </c>
      <c r="D155" s="5">
        <v>0</v>
      </c>
      <c r="E155" s="5">
        <v>0</v>
      </c>
      <c r="F155" s="5">
        <v>0</v>
      </c>
    </row>
    <row r="156" spans="1:6" x14ac:dyDescent="0.3">
      <c r="A156" s="5" t="s">
        <v>1</v>
      </c>
      <c r="B156" s="5" t="s">
        <v>2</v>
      </c>
      <c r="C156" s="5" t="s">
        <v>3</v>
      </c>
      <c r="D156" s="5" t="s">
        <v>4</v>
      </c>
      <c r="E156" s="5" t="s">
        <v>5</v>
      </c>
      <c r="F156" s="5" t="s">
        <v>26</v>
      </c>
    </row>
    <row r="157" spans="1:6" x14ac:dyDescent="0.3">
      <c r="A157" s="5" t="s">
        <v>77</v>
      </c>
      <c r="B157" s="5" t="s">
        <v>77</v>
      </c>
      <c r="C157" s="5">
        <v>1977.4349999999999</v>
      </c>
      <c r="D157" s="5">
        <v>13</v>
      </c>
      <c r="E157" s="5">
        <v>51</v>
      </c>
      <c r="F157" s="5">
        <v>10</v>
      </c>
    </row>
    <row r="158" spans="1:6" x14ac:dyDescent="0.3">
      <c r="A158" s="5" t="s">
        <v>77</v>
      </c>
      <c r="B158" s="5" t="s">
        <v>40</v>
      </c>
      <c r="C158" s="5">
        <v>969.76</v>
      </c>
      <c r="D158" s="5">
        <v>2</v>
      </c>
      <c r="E158" s="5">
        <v>26</v>
      </c>
      <c r="F158" s="5">
        <v>5</v>
      </c>
    </row>
    <row r="159" spans="1:6" x14ac:dyDescent="0.3">
      <c r="A159" s="5" t="s">
        <v>77</v>
      </c>
      <c r="B159" s="5" t="s">
        <v>41</v>
      </c>
      <c r="C159" s="5">
        <v>1001.3</v>
      </c>
      <c r="D159" s="5">
        <v>11</v>
      </c>
      <c r="E159" s="5">
        <v>25</v>
      </c>
      <c r="F159" s="5">
        <v>5</v>
      </c>
    </row>
    <row r="160" spans="1:6" x14ac:dyDescent="0.3">
      <c r="A160" s="5" t="s">
        <v>77</v>
      </c>
      <c r="B160" s="5" t="s">
        <v>6</v>
      </c>
      <c r="C160" s="5">
        <v>0</v>
      </c>
      <c r="D160" s="5">
        <v>0</v>
      </c>
      <c r="E160" s="5">
        <v>0</v>
      </c>
      <c r="F160" s="5">
        <v>0</v>
      </c>
    </row>
    <row r="161" spans="1:6" x14ac:dyDescent="0.3">
      <c r="A161" s="5" t="s">
        <v>1</v>
      </c>
      <c r="B161" s="5" t="s">
        <v>2</v>
      </c>
      <c r="C161" s="5" t="s">
        <v>3</v>
      </c>
      <c r="D161" s="5" t="s">
        <v>4</v>
      </c>
      <c r="E161" s="5" t="s">
        <v>5</v>
      </c>
      <c r="F161" s="5" t="s">
        <v>26</v>
      </c>
    </row>
    <row r="162" spans="1:6" x14ac:dyDescent="0.3">
      <c r="A162" s="5" t="s">
        <v>78</v>
      </c>
      <c r="B162" s="5" t="s">
        <v>78</v>
      </c>
      <c r="C162" s="5">
        <v>4466.0750000000007</v>
      </c>
      <c r="D162" s="5">
        <v>24</v>
      </c>
      <c r="E162" s="5">
        <v>115</v>
      </c>
      <c r="F162" s="5">
        <v>20</v>
      </c>
    </row>
    <row r="163" spans="1:6" x14ac:dyDescent="0.3">
      <c r="A163" s="5" t="s">
        <v>78</v>
      </c>
      <c r="B163" s="5" t="s">
        <v>40</v>
      </c>
      <c r="C163" s="5">
        <v>2195.875</v>
      </c>
      <c r="D163" s="5">
        <v>4</v>
      </c>
      <c r="E163" s="5">
        <v>59</v>
      </c>
      <c r="F163" s="5">
        <v>10</v>
      </c>
    </row>
    <row r="164" spans="1:6" x14ac:dyDescent="0.3">
      <c r="A164" s="5" t="s">
        <v>78</v>
      </c>
      <c r="B164" s="5" t="s">
        <v>41</v>
      </c>
      <c r="C164" s="5">
        <v>1109.0999999999999</v>
      </c>
      <c r="D164" s="5">
        <v>7</v>
      </c>
      <c r="E164" s="5">
        <v>23</v>
      </c>
      <c r="F164" s="5">
        <v>5</v>
      </c>
    </row>
    <row r="165" spans="1:6" x14ac:dyDescent="0.3">
      <c r="A165" s="5" t="s">
        <v>78</v>
      </c>
      <c r="B165" s="5" t="s">
        <v>42</v>
      </c>
      <c r="C165" s="5">
        <v>1158.2249999999999</v>
      </c>
      <c r="D165" s="5">
        <v>13</v>
      </c>
      <c r="E165" s="5">
        <v>33</v>
      </c>
      <c r="F165" s="5">
        <v>5</v>
      </c>
    </row>
    <row r="166" spans="1:6" x14ac:dyDescent="0.3">
      <c r="A166" s="5" t="s">
        <v>78</v>
      </c>
      <c r="B166" s="5" t="s">
        <v>6</v>
      </c>
      <c r="C166" s="5">
        <v>0</v>
      </c>
      <c r="D166" s="5">
        <v>0</v>
      </c>
      <c r="E166" s="5">
        <v>0</v>
      </c>
      <c r="F166" s="5">
        <v>0</v>
      </c>
    </row>
    <row r="167" spans="1:6" x14ac:dyDescent="0.3">
      <c r="A167" s="5" t="s">
        <v>1</v>
      </c>
      <c r="B167" s="5" t="s">
        <v>2</v>
      </c>
      <c r="C167" s="5" t="s">
        <v>3</v>
      </c>
      <c r="D167" s="5" t="s">
        <v>4</v>
      </c>
      <c r="E167" s="5" t="s">
        <v>5</v>
      </c>
      <c r="F167" s="5" t="s">
        <v>26</v>
      </c>
    </row>
    <row r="168" spans="1:6" x14ac:dyDescent="0.3">
      <c r="A168" s="5" t="s">
        <v>79</v>
      </c>
      <c r="B168" s="5" t="s">
        <v>79</v>
      </c>
      <c r="C168" s="5">
        <v>15432.83</v>
      </c>
      <c r="D168" s="5">
        <v>75</v>
      </c>
      <c r="E168" s="5">
        <v>446</v>
      </c>
      <c r="F168" s="5">
        <v>65</v>
      </c>
    </row>
    <row r="169" spans="1:6" x14ac:dyDescent="0.3">
      <c r="A169" s="5" t="s">
        <v>79</v>
      </c>
      <c r="B169" s="5" t="s">
        <v>40</v>
      </c>
      <c r="C169" s="5">
        <v>7295.9149999999991</v>
      </c>
      <c r="D169" s="5">
        <v>9</v>
      </c>
      <c r="E169" s="5">
        <v>203</v>
      </c>
      <c r="F169" s="5">
        <v>30</v>
      </c>
    </row>
    <row r="170" spans="1:6" x14ac:dyDescent="0.3">
      <c r="A170" s="5" t="s">
        <v>79</v>
      </c>
      <c r="B170" s="5" t="s">
        <v>41</v>
      </c>
      <c r="C170" s="5">
        <v>8136.915</v>
      </c>
      <c r="D170" s="5">
        <v>66</v>
      </c>
      <c r="E170" s="5">
        <v>243</v>
      </c>
      <c r="F170" s="5">
        <v>35</v>
      </c>
    </row>
    <row r="171" spans="1:6" x14ac:dyDescent="0.3">
      <c r="A171" s="5" t="s">
        <v>79</v>
      </c>
      <c r="B171" s="5" t="s">
        <v>6</v>
      </c>
      <c r="C171" s="5">
        <v>0</v>
      </c>
      <c r="D171" s="5">
        <v>0</v>
      </c>
      <c r="E171" s="5">
        <v>0</v>
      </c>
      <c r="F171" s="5">
        <v>0</v>
      </c>
    </row>
    <row r="172" spans="1:6" x14ac:dyDescent="0.3">
      <c r="A172" s="5" t="s">
        <v>1</v>
      </c>
      <c r="B172" s="5" t="s">
        <v>2</v>
      </c>
      <c r="C172" s="5" t="s">
        <v>3</v>
      </c>
      <c r="D172" s="5" t="s">
        <v>4</v>
      </c>
      <c r="E172" s="5" t="s">
        <v>5</v>
      </c>
      <c r="F172" s="5" t="s">
        <v>26</v>
      </c>
    </row>
    <row r="173" spans="1:6" x14ac:dyDescent="0.3">
      <c r="A173" s="5" t="s">
        <v>80</v>
      </c>
      <c r="B173" s="5" t="s">
        <v>80</v>
      </c>
      <c r="C173" s="5">
        <v>3982.46</v>
      </c>
      <c r="D173" s="5">
        <v>25</v>
      </c>
      <c r="E173" s="5">
        <v>116</v>
      </c>
      <c r="F173" s="5">
        <v>20</v>
      </c>
    </row>
    <row r="174" spans="1:6" x14ac:dyDescent="0.3">
      <c r="A174" s="5" t="s">
        <v>80</v>
      </c>
      <c r="B174" s="5" t="s">
        <v>40</v>
      </c>
      <c r="C174" s="5">
        <v>2037.21</v>
      </c>
      <c r="D174" s="5">
        <v>5</v>
      </c>
      <c r="E174" s="5">
        <v>58</v>
      </c>
      <c r="F174" s="5">
        <v>10</v>
      </c>
    </row>
    <row r="175" spans="1:6" x14ac:dyDescent="0.3">
      <c r="A175" s="5" t="s">
        <v>80</v>
      </c>
      <c r="B175" s="5" t="s">
        <v>41</v>
      </c>
      <c r="C175" s="5">
        <v>1945.25</v>
      </c>
      <c r="D175" s="5">
        <v>20</v>
      </c>
      <c r="E175" s="5">
        <v>58</v>
      </c>
      <c r="F175" s="5">
        <v>10</v>
      </c>
    </row>
    <row r="176" spans="1:6" x14ac:dyDescent="0.3">
      <c r="A176" s="5" t="s">
        <v>80</v>
      </c>
      <c r="B176" s="5" t="s">
        <v>6</v>
      </c>
      <c r="C176" s="5">
        <v>0</v>
      </c>
      <c r="D176" s="5">
        <v>0</v>
      </c>
      <c r="E176" s="5">
        <v>0</v>
      </c>
      <c r="F176" s="5">
        <v>0</v>
      </c>
    </row>
    <row r="177" spans="1:6" x14ac:dyDescent="0.3">
      <c r="A177" s="5" t="s">
        <v>1</v>
      </c>
      <c r="B177" s="5" t="s">
        <v>2</v>
      </c>
      <c r="C177" s="5" t="s">
        <v>3</v>
      </c>
      <c r="D177" s="5" t="s">
        <v>4</v>
      </c>
      <c r="E177" s="5" t="s">
        <v>5</v>
      </c>
      <c r="F177" s="5" t="s">
        <v>26</v>
      </c>
    </row>
    <row r="178" spans="1:6" x14ac:dyDescent="0.3">
      <c r="A178" s="5" t="s">
        <v>81</v>
      </c>
      <c r="B178" s="5" t="s">
        <v>81</v>
      </c>
      <c r="C178" s="5">
        <v>710.22</v>
      </c>
      <c r="D178" s="5">
        <v>4</v>
      </c>
      <c r="E178" s="5">
        <v>15</v>
      </c>
      <c r="F178" s="5">
        <v>5</v>
      </c>
    </row>
    <row r="179" spans="1:6" x14ac:dyDescent="0.3">
      <c r="A179" s="5" t="s">
        <v>81</v>
      </c>
      <c r="B179" s="5" t="s">
        <v>40</v>
      </c>
      <c r="C179" s="5">
        <v>360.24</v>
      </c>
      <c r="D179" s="5">
        <v>1</v>
      </c>
      <c r="E179" s="5">
        <v>8</v>
      </c>
      <c r="F179" s="5">
        <v>5</v>
      </c>
    </row>
    <row r="180" spans="1:6" x14ac:dyDescent="0.3">
      <c r="A180" s="5" t="s">
        <v>81</v>
      </c>
      <c r="B180" s="5" t="s">
        <v>41</v>
      </c>
      <c r="C180" s="5">
        <v>349.98</v>
      </c>
      <c r="D180" s="5">
        <v>3</v>
      </c>
      <c r="E180" s="5">
        <v>7</v>
      </c>
      <c r="F180" s="5">
        <v>5</v>
      </c>
    </row>
    <row r="181" spans="1:6" x14ac:dyDescent="0.3">
      <c r="A181" s="5" t="s">
        <v>81</v>
      </c>
      <c r="B181" s="5" t="s">
        <v>6</v>
      </c>
      <c r="C181" s="5">
        <v>0</v>
      </c>
      <c r="D181" s="5">
        <v>0</v>
      </c>
      <c r="E181" s="5">
        <v>0</v>
      </c>
      <c r="F181" s="5">
        <v>0</v>
      </c>
    </row>
    <row r="182" spans="1:6" x14ac:dyDescent="0.3">
      <c r="A182" s="5" t="s">
        <v>1</v>
      </c>
      <c r="B182" s="5" t="s">
        <v>2</v>
      </c>
      <c r="C182" s="5" t="s">
        <v>3</v>
      </c>
      <c r="D182" s="5" t="s">
        <v>4</v>
      </c>
      <c r="E182" s="5" t="s">
        <v>5</v>
      </c>
      <c r="F182" s="5" t="s">
        <v>26</v>
      </c>
    </row>
    <row r="183" spans="1:6" x14ac:dyDescent="0.3">
      <c r="A183" s="5" t="s">
        <v>82</v>
      </c>
      <c r="B183" s="5" t="s">
        <v>82</v>
      </c>
      <c r="C183" s="5">
        <v>1979.934</v>
      </c>
      <c r="D183" s="5">
        <v>23</v>
      </c>
      <c r="E183" s="5">
        <v>120</v>
      </c>
      <c r="F183" s="5">
        <v>20</v>
      </c>
    </row>
    <row r="184" spans="1:6" x14ac:dyDescent="0.3">
      <c r="A184" s="5" t="s">
        <v>82</v>
      </c>
      <c r="B184" s="5" t="s">
        <v>40</v>
      </c>
      <c r="C184" s="5">
        <v>1042.29</v>
      </c>
      <c r="D184" s="5">
        <v>4</v>
      </c>
      <c r="E184" s="5">
        <v>66</v>
      </c>
      <c r="F184" s="5">
        <v>10</v>
      </c>
    </row>
    <row r="185" spans="1:6" x14ac:dyDescent="0.3">
      <c r="A185" s="5" t="s">
        <v>82</v>
      </c>
      <c r="B185" s="5" t="s">
        <v>41</v>
      </c>
      <c r="C185" s="5">
        <v>623.99599999999998</v>
      </c>
      <c r="D185" s="5">
        <v>11</v>
      </c>
      <c r="E185" s="5">
        <v>29</v>
      </c>
      <c r="F185" s="5">
        <v>5</v>
      </c>
    </row>
    <row r="186" spans="1:6" x14ac:dyDescent="0.3">
      <c r="A186" s="5" t="s">
        <v>82</v>
      </c>
      <c r="B186" s="5" t="s">
        <v>42</v>
      </c>
      <c r="C186" s="5">
        <v>306.89800000000002</v>
      </c>
      <c r="D186" s="5">
        <v>8</v>
      </c>
      <c r="E186" s="5">
        <v>25</v>
      </c>
      <c r="F186" s="5">
        <v>5</v>
      </c>
    </row>
    <row r="187" spans="1:6" x14ac:dyDescent="0.3">
      <c r="A187" s="5" t="s">
        <v>82</v>
      </c>
      <c r="B187" s="5" t="s">
        <v>6</v>
      </c>
      <c r="C187" s="5">
        <v>0</v>
      </c>
      <c r="D187" s="5">
        <v>0</v>
      </c>
      <c r="E187" s="5">
        <v>0</v>
      </c>
      <c r="F187" s="5">
        <v>0</v>
      </c>
    </row>
    <row r="188" spans="1:6" x14ac:dyDescent="0.3">
      <c r="A188" s="5" t="s">
        <v>1</v>
      </c>
      <c r="B188" s="5" t="s">
        <v>2</v>
      </c>
      <c r="C188" s="5" t="s">
        <v>3</v>
      </c>
      <c r="D188" s="5" t="s">
        <v>4</v>
      </c>
      <c r="E188" s="5" t="s">
        <v>5</v>
      </c>
      <c r="F188" s="5" t="s">
        <v>26</v>
      </c>
    </row>
    <row r="189" spans="1:6" x14ac:dyDescent="0.3">
      <c r="A189" s="5" t="s">
        <v>83</v>
      </c>
      <c r="B189" s="5" t="s">
        <v>83</v>
      </c>
      <c r="C189" s="5">
        <v>16004.325000000001</v>
      </c>
      <c r="D189" s="5">
        <v>80</v>
      </c>
      <c r="E189" s="5">
        <v>461</v>
      </c>
      <c r="F189" s="5">
        <v>70</v>
      </c>
    </row>
    <row r="190" spans="1:6" x14ac:dyDescent="0.3">
      <c r="A190" s="5" t="s">
        <v>83</v>
      </c>
      <c r="B190" s="5" t="s">
        <v>40</v>
      </c>
      <c r="C190" s="5">
        <v>7331.13</v>
      </c>
      <c r="D190" s="5">
        <v>10</v>
      </c>
      <c r="E190" s="5">
        <v>202</v>
      </c>
      <c r="F190" s="5">
        <v>30</v>
      </c>
    </row>
    <row r="191" spans="1:6" x14ac:dyDescent="0.3">
      <c r="A191" s="5" t="s">
        <v>83</v>
      </c>
      <c r="B191" s="5" t="s">
        <v>41</v>
      </c>
      <c r="C191" s="5">
        <v>8673.1949999999997</v>
      </c>
      <c r="D191" s="5">
        <v>70</v>
      </c>
      <c r="E191" s="5">
        <v>259</v>
      </c>
      <c r="F191" s="5">
        <v>40</v>
      </c>
    </row>
    <row r="192" spans="1:6" x14ac:dyDescent="0.3">
      <c r="A192" s="5" t="s">
        <v>83</v>
      </c>
      <c r="B192" s="5" t="s">
        <v>6</v>
      </c>
      <c r="C192" s="5">
        <v>0</v>
      </c>
      <c r="D192" s="5">
        <v>0</v>
      </c>
      <c r="E192" s="5">
        <v>0</v>
      </c>
      <c r="F192" s="5">
        <v>0</v>
      </c>
    </row>
    <row r="193" spans="1:6" x14ac:dyDescent="0.3">
      <c r="A193" s="5" t="s">
        <v>1</v>
      </c>
      <c r="B193" s="5" t="s">
        <v>2</v>
      </c>
      <c r="C193" s="5" t="s">
        <v>3</v>
      </c>
      <c r="D193" s="5" t="s">
        <v>4</v>
      </c>
      <c r="E193" s="5" t="s">
        <v>5</v>
      </c>
      <c r="F193" s="5" t="s">
        <v>26</v>
      </c>
    </row>
    <row r="194" spans="1:6" x14ac:dyDescent="0.3">
      <c r="A194" s="5" t="s">
        <v>84</v>
      </c>
      <c r="B194" s="5" t="s">
        <v>84</v>
      </c>
      <c r="C194" s="5">
        <v>1225.3150000000001</v>
      </c>
      <c r="D194" s="5">
        <v>10</v>
      </c>
      <c r="E194" s="5">
        <v>35</v>
      </c>
      <c r="F194" s="5">
        <v>5</v>
      </c>
    </row>
    <row r="195" spans="1:6" x14ac:dyDescent="0.3">
      <c r="A195" s="5" t="s">
        <v>84</v>
      </c>
      <c r="B195" s="5" t="s">
        <v>40</v>
      </c>
      <c r="C195" s="5">
        <v>832.2</v>
      </c>
      <c r="D195" s="5">
        <v>3</v>
      </c>
      <c r="E195" s="5">
        <v>24</v>
      </c>
      <c r="F195" s="5">
        <v>5</v>
      </c>
    </row>
    <row r="196" spans="1:6" x14ac:dyDescent="0.3">
      <c r="A196" s="5" t="s">
        <v>84</v>
      </c>
      <c r="B196" s="5" t="s">
        <v>41</v>
      </c>
      <c r="C196" s="5">
        <v>388.74</v>
      </c>
      <c r="D196" s="5">
        <v>7</v>
      </c>
      <c r="E196" s="5">
        <v>11</v>
      </c>
      <c r="F196" s="5">
        <v>5</v>
      </c>
    </row>
    <row r="197" spans="1:6" x14ac:dyDescent="0.3">
      <c r="A197" s="5" t="s">
        <v>84</v>
      </c>
      <c r="B197" s="5" t="s">
        <v>6</v>
      </c>
      <c r="C197" s="5">
        <v>0</v>
      </c>
      <c r="D197" s="5">
        <v>0</v>
      </c>
      <c r="E197" s="5">
        <v>0</v>
      </c>
      <c r="F197" s="5">
        <v>0</v>
      </c>
    </row>
    <row r="198" spans="1:6" x14ac:dyDescent="0.3">
      <c r="A198" s="5" t="s">
        <v>1</v>
      </c>
      <c r="B198" s="5" t="s">
        <v>2</v>
      </c>
      <c r="C198" s="5" t="s">
        <v>3</v>
      </c>
      <c r="D198" s="5" t="s">
        <v>4</v>
      </c>
      <c r="E198" s="5" t="s">
        <v>5</v>
      </c>
      <c r="F198" s="5" t="s">
        <v>26</v>
      </c>
    </row>
    <row r="199" spans="1:6" x14ac:dyDescent="0.3">
      <c r="A199" s="5" t="s">
        <v>85</v>
      </c>
      <c r="B199" s="5" t="s">
        <v>85</v>
      </c>
      <c r="C199" s="5">
        <v>593.18000000000006</v>
      </c>
      <c r="D199" s="5">
        <v>4</v>
      </c>
      <c r="E199" s="5">
        <v>15</v>
      </c>
      <c r="F199" s="5">
        <v>5</v>
      </c>
    </row>
    <row r="200" spans="1:6" x14ac:dyDescent="0.3">
      <c r="A200" s="5" t="s">
        <v>85</v>
      </c>
      <c r="B200" s="5" t="s">
        <v>40</v>
      </c>
      <c r="C200" s="5">
        <v>243.2</v>
      </c>
      <c r="D200" s="5">
        <v>1</v>
      </c>
      <c r="E200" s="5">
        <v>8</v>
      </c>
      <c r="F200" s="5">
        <v>5</v>
      </c>
    </row>
    <row r="201" spans="1:6" x14ac:dyDescent="0.3">
      <c r="A201" s="5" t="s">
        <v>85</v>
      </c>
      <c r="B201" s="5" t="s">
        <v>41</v>
      </c>
      <c r="C201" s="5">
        <v>349.98</v>
      </c>
      <c r="D201" s="5">
        <v>3</v>
      </c>
      <c r="E201" s="5">
        <v>7</v>
      </c>
      <c r="F201" s="5">
        <v>5</v>
      </c>
    </row>
    <row r="202" spans="1:6" x14ac:dyDescent="0.3">
      <c r="A202" s="5" t="s">
        <v>85</v>
      </c>
      <c r="B202" s="5" t="s">
        <v>6</v>
      </c>
      <c r="C202" s="5">
        <v>0</v>
      </c>
      <c r="D202" s="5">
        <v>0</v>
      </c>
      <c r="E202" s="5">
        <v>0</v>
      </c>
      <c r="F202" s="5">
        <v>0</v>
      </c>
    </row>
    <row r="203" spans="1:6" x14ac:dyDescent="0.3">
      <c r="A203" s="5" t="s">
        <v>1</v>
      </c>
      <c r="B203" s="5" t="s">
        <v>2</v>
      </c>
      <c r="C203" s="5" t="s">
        <v>3</v>
      </c>
      <c r="D203" s="5" t="s">
        <v>4</v>
      </c>
      <c r="E203" s="5" t="s">
        <v>5</v>
      </c>
      <c r="F203" s="5" t="s">
        <v>26</v>
      </c>
    </row>
    <row r="204" spans="1:6" x14ac:dyDescent="0.3">
      <c r="A204" s="5" t="s">
        <v>86</v>
      </c>
      <c r="B204" s="5" t="s">
        <v>86</v>
      </c>
      <c r="C204" s="5">
        <v>4733.2250000000004</v>
      </c>
      <c r="D204" s="5">
        <v>23</v>
      </c>
      <c r="E204" s="5">
        <v>121</v>
      </c>
      <c r="F204" s="5">
        <v>20</v>
      </c>
    </row>
    <row r="205" spans="1:6" x14ac:dyDescent="0.3">
      <c r="A205" s="5" t="s">
        <v>86</v>
      </c>
      <c r="B205" s="5" t="s">
        <v>40</v>
      </c>
      <c r="C205" s="5">
        <v>2473.9</v>
      </c>
      <c r="D205" s="5">
        <v>4</v>
      </c>
      <c r="E205" s="5">
        <v>68</v>
      </c>
      <c r="F205" s="5">
        <v>10</v>
      </c>
    </row>
    <row r="206" spans="1:6" x14ac:dyDescent="0.3">
      <c r="A206" s="5" t="s">
        <v>86</v>
      </c>
      <c r="B206" s="5" t="s">
        <v>41</v>
      </c>
      <c r="C206" s="5">
        <v>1342.1999999999998</v>
      </c>
      <c r="D206" s="5">
        <v>11</v>
      </c>
      <c r="E206" s="5">
        <v>28</v>
      </c>
      <c r="F206" s="5">
        <v>5</v>
      </c>
    </row>
    <row r="207" spans="1:6" x14ac:dyDescent="0.3">
      <c r="A207" s="5" t="s">
        <v>86</v>
      </c>
      <c r="B207" s="5" t="s">
        <v>42</v>
      </c>
      <c r="C207" s="5">
        <v>910.5</v>
      </c>
      <c r="D207" s="5">
        <v>8</v>
      </c>
      <c r="E207" s="5">
        <v>25</v>
      </c>
      <c r="F207" s="5">
        <v>5</v>
      </c>
    </row>
    <row r="208" spans="1:6" x14ac:dyDescent="0.3">
      <c r="A208" s="5" t="s">
        <v>86</v>
      </c>
      <c r="B208" s="5" t="s">
        <v>6</v>
      </c>
      <c r="C208" s="5">
        <v>0</v>
      </c>
      <c r="D208" s="5">
        <v>0</v>
      </c>
      <c r="E208" s="5">
        <v>0</v>
      </c>
      <c r="F208" s="5">
        <v>0</v>
      </c>
    </row>
    <row r="209" spans="1:6" x14ac:dyDescent="0.3">
      <c r="A209" s="5" t="s">
        <v>1</v>
      </c>
      <c r="B209" s="5" t="s">
        <v>2</v>
      </c>
      <c r="C209" s="5" t="s">
        <v>3</v>
      </c>
      <c r="D209" s="5" t="s">
        <v>4</v>
      </c>
      <c r="E209" s="5" t="s">
        <v>5</v>
      </c>
      <c r="F209" s="5" t="s">
        <v>26</v>
      </c>
    </row>
    <row r="210" spans="1:6" x14ac:dyDescent="0.3">
      <c r="A210" s="5" t="s">
        <v>87</v>
      </c>
      <c r="B210" s="5" t="s">
        <v>87</v>
      </c>
      <c r="C210" s="5">
        <v>16455.225000000002</v>
      </c>
      <c r="D210" s="5">
        <v>81</v>
      </c>
      <c r="E210" s="5">
        <v>477</v>
      </c>
      <c r="F210" s="5">
        <v>70</v>
      </c>
    </row>
    <row r="211" spans="1:6" x14ac:dyDescent="0.3">
      <c r="A211" s="5" t="s">
        <v>87</v>
      </c>
      <c r="B211" s="5" t="s">
        <v>40</v>
      </c>
      <c r="C211" s="5">
        <v>7313.6049999999996</v>
      </c>
      <c r="D211" s="5">
        <v>10</v>
      </c>
      <c r="E211" s="5">
        <v>203</v>
      </c>
      <c r="F211" s="5">
        <v>30</v>
      </c>
    </row>
    <row r="212" spans="1:6" x14ac:dyDescent="0.3">
      <c r="A212" s="5" t="s">
        <v>87</v>
      </c>
      <c r="B212" s="5" t="s">
        <v>41</v>
      </c>
      <c r="C212" s="5">
        <v>9141.6200000000008</v>
      </c>
      <c r="D212" s="5">
        <v>71</v>
      </c>
      <c r="E212" s="5">
        <v>274</v>
      </c>
      <c r="F212" s="5">
        <v>40</v>
      </c>
    </row>
    <row r="213" spans="1:6" x14ac:dyDescent="0.3">
      <c r="A213" s="5" t="s">
        <v>87</v>
      </c>
      <c r="B213" s="5" t="s">
        <v>6</v>
      </c>
      <c r="C213" s="5">
        <v>0</v>
      </c>
      <c r="D213" s="5">
        <v>0</v>
      </c>
      <c r="E213" s="5">
        <v>0</v>
      </c>
      <c r="F213" s="5">
        <v>0</v>
      </c>
    </row>
    <row r="214" spans="1:6" x14ac:dyDescent="0.3">
      <c r="A214" s="5" t="s">
        <v>1</v>
      </c>
      <c r="B214" s="5" t="s">
        <v>2</v>
      </c>
      <c r="C214" s="5" t="s">
        <v>3</v>
      </c>
      <c r="D214" s="5" t="s">
        <v>4</v>
      </c>
      <c r="E214" s="5" t="s">
        <v>5</v>
      </c>
      <c r="F214" s="5" t="s">
        <v>26</v>
      </c>
    </row>
    <row r="215" spans="1:6" x14ac:dyDescent="0.3">
      <c r="A215" s="5" t="s">
        <v>88</v>
      </c>
      <c r="B215" s="5" t="s">
        <v>88</v>
      </c>
      <c r="C215" s="5">
        <v>1210.3699999999999</v>
      </c>
      <c r="D215" s="5">
        <v>11</v>
      </c>
      <c r="E215" s="5">
        <v>34</v>
      </c>
      <c r="F215" s="5">
        <v>5</v>
      </c>
    </row>
    <row r="216" spans="1:6" x14ac:dyDescent="0.3">
      <c r="A216" s="5" t="s">
        <v>88</v>
      </c>
      <c r="B216" s="5" t="s">
        <v>40</v>
      </c>
      <c r="C216" s="5">
        <v>834.1</v>
      </c>
      <c r="D216" s="5">
        <v>4</v>
      </c>
      <c r="E216" s="5">
        <v>23</v>
      </c>
      <c r="F216" s="5">
        <v>5</v>
      </c>
    </row>
    <row r="217" spans="1:6" x14ac:dyDescent="0.3">
      <c r="A217" s="5" t="s">
        <v>88</v>
      </c>
      <c r="B217" s="5" t="s">
        <v>41</v>
      </c>
      <c r="C217" s="5">
        <v>372.02</v>
      </c>
      <c r="D217" s="5">
        <v>7</v>
      </c>
      <c r="E217" s="5">
        <v>11</v>
      </c>
      <c r="F217" s="5">
        <v>5</v>
      </c>
    </row>
    <row r="218" spans="1:6" x14ac:dyDescent="0.3">
      <c r="A218" s="5" t="s">
        <v>88</v>
      </c>
      <c r="B218" s="5" t="s">
        <v>6</v>
      </c>
      <c r="C218" s="5">
        <v>0</v>
      </c>
      <c r="D218" s="5">
        <v>0</v>
      </c>
      <c r="E218" s="5">
        <v>0</v>
      </c>
      <c r="F218" s="5">
        <v>0</v>
      </c>
    </row>
    <row r="219" spans="1:6" x14ac:dyDescent="0.3">
      <c r="A219" s="5" t="s">
        <v>1</v>
      </c>
      <c r="B219" s="5" t="s">
        <v>2</v>
      </c>
      <c r="C219" s="5" t="s">
        <v>3</v>
      </c>
      <c r="D219" s="5" t="s">
        <v>4</v>
      </c>
      <c r="E219" s="5" t="s">
        <v>5</v>
      </c>
      <c r="F219" s="5" t="s">
        <v>26</v>
      </c>
    </row>
    <row r="220" spans="1:6" x14ac:dyDescent="0.3">
      <c r="A220" s="5" t="s">
        <v>89</v>
      </c>
      <c r="B220" s="5" t="s">
        <v>89</v>
      </c>
      <c r="C220" s="5">
        <v>710.22</v>
      </c>
      <c r="D220" s="5">
        <v>4</v>
      </c>
      <c r="E220" s="5">
        <v>15</v>
      </c>
      <c r="F220" s="5">
        <v>5</v>
      </c>
    </row>
    <row r="221" spans="1:6" x14ac:dyDescent="0.3">
      <c r="A221" s="5" t="s">
        <v>89</v>
      </c>
      <c r="B221" s="5" t="s">
        <v>40</v>
      </c>
      <c r="C221" s="5">
        <v>360.24</v>
      </c>
      <c r="D221" s="5">
        <v>1</v>
      </c>
      <c r="E221" s="5">
        <v>8</v>
      </c>
      <c r="F221" s="5">
        <v>5</v>
      </c>
    </row>
    <row r="222" spans="1:6" x14ac:dyDescent="0.3">
      <c r="A222" s="5" t="s">
        <v>89</v>
      </c>
      <c r="B222" s="5" t="s">
        <v>41</v>
      </c>
      <c r="C222" s="5">
        <v>349.98</v>
      </c>
      <c r="D222" s="5">
        <v>3</v>
      </c>
      <c r="E222" s="5">
        <v>7</v>
      </c>
      <c r="F222" s="5">
        <v>5</v>
      </c>
    </row>
    <row r="223" spans="1:6" x14ac:dyDescent="0.3">
      <c r="A223" s="5" t="s">
        <v>89</v>
      </c>
      <c r="B223" s="5" t="s">
        <v>6</v>
      </c>
      <c r="C223" s="5">
        <v>0</v>
      </c>
      <c r="D223" s="5">
        <v>0</v>
      </c>
      <c r="E223" s="5">
        <v>0</v>
      </c>
      <c r="F223" s="5">
        <v>0</v>
      </c>
    </row>
    <row r="224" spans="1:6" x14ac:dyDescent="0.3">
      <c r="A224" s="5" t="s">
        <v>1</v>
      </c>
      <c r="B224" s="5" t="s">
        <v>2</v>
      </c>
      <c r="C224" s="5" t="s">
        <v>3</v>
      </c>
      <c r="D224" s="5" t="s">
        <v>4</v>
      </c>
      <c r="E224" s="5" t="s">
        <v>5</v>
      </c>
      <c r="F224" s="5" t="s">
        <v>26</v>
      </c>
    </row>
    <row r="225" spans="1:6" x14ac:dyDescent="0.3">
      <c r="A225" s="5" t="s">
        <v>90</v>
      </c>
      <c r="B225" s="5" t="s">
        <v>90</v>
      </c>
      <c r="C225" s="5">
        <v>1063.3</v>
      </c>
      <c r="D225" s="5">
        <v>2</v>
      </c>
      <c r="E225" s="5">
        <v>21</v>
      </c>
      <c r="F225" s="5">
        <v>5</v>
      </c>
    </row>
    <row r="226" spans="1:6" x14ac:dyDescent="0.3">
      <c r="A226" s="5" t="s">
        <v>90</v>
      </c>
      <c r="B226" s="5" t="s">
        <v>6</v>
      </c>
      <c r="C226" s="5">
        <v>1063.3</v>
      </c>
      <c r="D226" s="5">
        <v>2</v>
      </c>
      <c r="E226" s="5">
        <v>21</v>
      </c>
      <c r="F226" s="5">
        <v>5</v>
      </c>
    </row>
    <row r="227" spans="1:6" x14ac:dyDescent="0.3">
      <c r="A227" s="5" t="s">
        <v>1</v>
      </c>
      <c r="B227" s="5" t="s">
        <v>2</v>
      </c>
      <c r="C227" s="5" t="s">
        <v>3</v>
      </c>
      <c r="D227" s="5" t="s">
        <v>4</v>
      </c>
      <c r="E227" s="5" t="s">
        <v>5</v>
      </c>
      <c r="F227" s="5" t="s">
        <v>26</v>
      </c>
    </row>
    <row r="228" spans="1:6" x14ac:dyDescent="0.3">
      <c r="A228" s="5" t="s">
        <v>91</v>
      </c>
      <c r="B228" s="5" t="s">
        <v>91</v>
      </c>
      <c r="C228" s="5">
        <v>3157.3679999999999</v>
      </c>
      <c r="D228" s="5">
        <v>25</v>
      </c>
      <c r="E228" s="5">
        <v>116</v>
      </c>
      <c r="F228" s="5">
        <v>20</v>
      </c>
    </row>
    <row r="229" spans="1:6" x14ac:dyDescent="0.3">
      <c r="A229" s="5" t="s">
        <v>91</v>
      </c>
      <c r="B229" s="5" t="s">
        <v>40</v>
      </c>
      <c r="C229" s="5">
        <v>2335.5</v>
      </c>
      <c r="D229" s="5">
        <v>4</v>
      </c>
      <c r="E229" s="5">
        <v>68</v>
      </c>
      <c r="F229" s="5">
        <v>10</v>
      </c>
    </row>
    <row r="230" spans="1:6" x14ac:dyDescent="0.3">
      <c r="A230" s="5" t="s">
        <v>91</v>
      </c>
      <c r="B230" s="5" t="s">
        <v>41</v>
      </c>
      <c r="C230" s="5">
        <v>821.86799999999994</v>
      </c>
      <c r="D230" s="5">
        <v>21</v>
      </c>
      <c r="E230" s="5">
        <v>48</v>
      </c>
      <c r="F230" s="5">
        <v>10</v>
      </c>
    </row>
    <row r="231" spans="1:6" x14ac:dyDescent="0.3">
      <c r="A231" s="5" t="s">
        <v>91</v>
      </c>
      <c r="B231" s="5" t="s">
        <v>6</v>
      </c>
      <c r="C231" s="5">
        <v>0</v>
      </c>
      <c r="D231" s="5">
        <v>0</v>
      </c>
      <c r="E231" s="5">
        <v>0</v>
      </c>
      <c r="F231" s="5">
        <v>0</v>
      </c>
    </row>
    <row r="232" spans="1:6" x14ac:dyDescent="0.3">
      <c r="A232" s="5" t="s">
        <v>1</v>
      </c>
      <c r="B232" s="5" t="s">
        <v>2</v>
      </c>
      <c r="C232" s="5" t="s">
        <v>3</v>
      </c>
      <c r="D232" s="5" t="s">
        <v>4</v>
      </c>
      <c r="E232" s="5" t="s">
        <v>5</v>
      </c>
      <c r="F232" s="5" t="s">
        <v>26</v>
      </c>
    </row>
    <row r="233" spans="1:6" x14ac:dyDescent="0.3">
      <c r="A233" s="5" t="s">
        <v>92</v>
      </c>
      <c r="B233" s="5" t="s">
        <v>92</v>
      </c>
      <c r="C233" s="5">
        <v>3185.0250000000001</v>
      </c>
      <c r="D233" s="5">
        <v>15</v>
      </c>
      <c r="E233" s="5">
        <v>59</v>
      </c>
      <c r="F233" s="5">
        <v>10</v>
      </c>
    </row>
    <row r="234" spans="1:6" x14ac:dyDescent="0.3">
      <c r="A234" s="5" t="s">
        <v>92</v>
      </c>
      <c r="B234" s="5" t="s">
        <v>40</v>
      </c>
      <c r="C234" s="5">
        <v>768.95</v>
      </c>
      <c r="D234" s="5">
        <v>2</v>
      </c>
      <c r="E234" s="5">
        <v>19</v>
      </c>
      <c r="F234" s="5">
        <v>5</v>
      </c>
    </row>
    <row r="235" spans="1:6" x14ac:dyDescent="0.3">
      <c r="A235" s="5" t="s">
        <v>92</v>
      </c>
      <c r="B235" s="5" t="s">
        <v>41</v>
      </c>
      <c r="C235" s="5">
        <v>2413.6999999999998</v>
      </c>
      <c r="D235" s="5">
        <v>13</v>
      </c>
      <c r="E235" s="5">
        <v>40</v>
      </c>
      <c r="F235" s="5">
        <v>10</v>
      </c>
    </row>
    <row r="236" spans="1:6" x14ac:dyDescent="0.3">
      <c r="A236" s="5" t="s">
        <v>92</v>
      </c>
      <c r="B236" s="5" t="s">
        <v>6</v>
      </c>
      <c r="C236" s="5">
        <v>0</v>
      </c>
      <c r="D236" s="5">
        <v>0</v>
      </c>
      <c r="E236" s="5">
        <v>0</v>
      </c>
      <c r="F236" s="5">
        <v>0</v>
      </c>
    </row>
    <row r="237" spans="1:6" x14ac:dyDescent="0.3">
      <c r="A237" s="5" t="s">
        <v>1</v>
      </c>
      <c r="B237" s="5" t="s">
        <v>2</v>
      </c>
      <c r="C237" s="5" t="s">
        <v>3</v>
      </c>
      <c r="D237" s="5" t="s">
        <v>4</v>
      </c>
      <c r="E237" s="5" t="s">
        <v>5</v>
      </c>
      <c r="F237" s="5" t="s">
        <v>26</v>
      </c>
    </row>
    <row r="238" spans="1:6" x14ac:dyDescent="0.3">
      <c r="A238" s="5" t="s">
        <v>93</v>
      </c>
      <c r="B238" s="5" t="s">
        <v>93</v>
      </c>
      <c r="C238" s="5">
        <v>19429.2</v>
      </c>
      <c r="D238" s="5">
        <v>96</v>
      </c>
      <c r="E238" s="5">
        <v>592</v>
      </c>
      <c r="F238" s="5">
        <v>85</v>
      </c>
    </row>
    <row r="239" spans="1:6" x14ac:dyDescent="0.3">
      <c r="A239" s="5" t="s">
        <v>93</v>
      </c>
      <c r="B239" s="5" t="s">
        <v>40</v>
      </c>
      <c r="C239" s="5">
        <v>7947.125</v>
      </c>
      <c r="D239" s="5">
        <v>15</v>
      </c>
      <c r="E239" s="5">
        <v>221</v>
      </c>
      <c r="F239" s="5">
        <v>35</v>
      </c>
    </row>
    <row r="240" spans="1:6" x14ac:dyDescent="0.3">
      <c r="A240" s="5" t="s">
        <v>93</v>
      </c>
      <c r="B240" s="5" t="s">
        <v>41</v>
      </c>
      <c r="C240" s="5">
        <v>1084.8499999999999</v>
      </c>
      <c r="D240" s="5">
        <v>1</v>
      </c>
      <c r="E240" s="5">
        <v>34</v>
      </c>
      <c r="F240" s="5">
        <v>5</v>
      </c>
    </row>
    <row r="241" spans="1:6" x14ac:dyDescent="0.3">
      <c r="A241" s="5" t="s">
        <v>93</v>
      </c>
      <c r="B241" s="5" t="s">
        <v>42</v>
      </c>
      <c r="C241" s="5">
        <v>10397.225</v>
      </c>
      <c r="D241" s="5">
        <v>80</v>
      </c>
      <c r="E241" s="5">
        <v>337</v>
      </c>
      <c r="F241" s="5">
        <v>50</v>
      </c>
    </row>
    <row r="242" spans="1:6" x14ac:dyDescent="0.3">
      <c r="A242" s="5" t="s">
        <v>93</v>
      </c>
      <c r="B242" s="5" t="s">
        <v>6</v>
      </c>
      <c r="C242" s="5">
        <v>0</v>
      </c>
      <c r="D242" s="5">
        <v>0</v>
      </c>
      <c r="E242" s="5">
        <v>0</v>
      </c>
      <c r="F242" s="5">
        <v>0</v>
      </c>
    </row>
    <row r="243" spans="1:6" x14ac:dyDescent="0.3">
      <c r="A243" s="5" t="s">
        <v>1</v>
      </c>
      <c r="B243" s="5" t="s">
        <v>2</v>
      </c>
      <c r="C243" s="5" t="s">
        <v>3</v>
      </c>
      <c r="D243" s="5" t="s">
        <v>4</v>
      </c>
      <c r="E243" s="5" t="s">
        <v>5</v>
      </c>
      <c r="F243" s="5" t="s">
        <v>26</v>
      </c>
    </row>
    <row r="244" spans="1:6" x14ac:dyDescent="0.3">
      <c r="A244" s="5" t="s">
        <v>94</v>
      </c>
      <c r="B244" s="5" t="s">
        <v>94</v>
      </c>
      <c r="C244" s="5">
        <v>4361.25</v>
      </c>
      <c r="D244" s="5">
        <v>7</v>
      </c>
      <c r="E244" s="5">
        <v>90</v>
      </c>
      <c r="F244" s="5">
        <v>15</v>
      </c>
    </row>
    <row r="245" spans="1:6" x14ac:dyDescent="0.3">
      <c r="A245" s="5" t="s">
        <v>94</v>
      </c>
      <c r="B245" s="5" t="s">
        <v>40</v>
      </c>
      <c r="C245" s="5">
        <v>293</v>
      </c>
      <c r="D245" s="5">
        <v>3</v>
      </c>
      <c r="E245" s="5">
        <v>10</v>
      </c>
      <c r="F245" s="5">
        <v>5</v>
      </c>
    </row>
    <row r="246" spans="1:6" x14ac:dyDescent="0.3">
      <c r="A246" s="5" t="s">
        <v>94</v>
      </c>
      <c r="B246" s="5" t="s">
        <v>41</v>
      </c>
      <c r="C246" s="5">
        <v>3751.25</v>
      </c>
      <c r="D246" s="5">
        <v>3</v>
      </c>
      <c r="E246" s="5">
        <v>74</v>
      </c>
      <c r="F246" s="5">
        <v>15</v>
      </c>
    </row>
    <row r="247" spans="1:6" x14ac:dyDescent="0.3">
      <c r="A247" s="5" t="s">
        <v>94</v>
      </c>
      <c r="B247" s="5" t="s">
        <v>42</v>
      </c>
      <c r="C247" s="5">
        <v>315</v>
      </c>
      <c r="D247" s="5">
        <v>1</v>
      </c>
      <c r="E247" s="5">
        <v>6</v>
      </c>
      <c r="F247" s="5">
        <v>5</v>
      </c>
    </row>
    <row r="248" spans="1:6" x14ac:dyDescent="0.3">
      <c r="A248" s="5" t="s">
        <v>94</v>
      </c>
      <c r="B248" s="5" t="s">
        <v>6</v>
      </c>
      <c r="C248" s="5">
        <v>0</v>
      </c>
      <c r="D248" s="5">
        <v>0</v>
      </c>
      <c r="E248" s="5">
        <v>0</v>
      </c>
      <c r="F248" s="5">
        <v>0</v>
      </c>
    </row>
    <row r="249" spans="1:6" x14ac:dyDescent="0.3">
      <c r="A249" s="5" t="s">
        <v>1</v>
      </c>
      <c r="B249" s="5" t="s">
        <v>2</v>
      </c>
      <c r="C249" s="5" t="s">
        <v>3</v>
      </c>
      <c r="D249" s="5" t="s">
        <v>4</v>
      </c>
      <c r="E249" s="5" t="s">
        <v>5</v>
      </c>
      <c r="F249" s="5" t="s">
        <v>26</v>
      </c>
    </row>
    <row r="250" spans="1:6" x14ac:dyDescent="0.3">
      <c r="A250" s="5" t="s">
        <v>95</v>
      </c>
      <c r="B250" s="5" t="s">
        <v>95</v>
      </c>
      <c r="C250" s="5">
        <v>325.5</v>
      </c>
      <c r="D250" s="5">
        <v>5</v>
      </c>
      <c r="E250" s="5">
        <v>10</v>
      </c>
      <c r="F250" s="5">
        <v>5</v>
      </c>
    </row>
    <row r="251" spans="1:6" x14ac:dyDescent="0.3">
      <c r="A251" s="5" t="s">
        <v>95</v>
      </c>
      <c r="B251" s="5" t="s">
        <v>6</v>
      </c>
      <c r="C251" s="5">
        <v>325.5</v>
      </c>
      <c r="D251" s="5">
        <v>5</v>
      </c>
      <c r="E251" s="5">
        <v>10</v>
      </c>
      <c r="F251" s="5">
        <v>5</v>
      </c>
    </row>
    <row r="252" spans="1:6" x14ac:dyDescent="0.3">
      <c r="A252" s="5" t="s">
        <v>1</v>
      </c>
      <c r="B252" s="5" t="s">
        <v>2</v>
      </c>
      <c r="C252" s="5" t="s">
        <v>3</v>
      </c>
      <c r="D252" s="5" t="s">
        <v>4</v>
      </c>
      <c r="E252" s="5" t="s">
        <v>5</v>
      </c>
      <c r="F252" s="5" t="s">
        <v>26</v>
      </c>
    </row>
    <row r="253" spans="1:6" x14ac:dyDescent="0.3">
      <c r="A253" s="5" t="s">
        <v>96</v>
      </c>
      <c r="B253" s="5" t="s">
        <v>96</v>
      </c>
      <c r="C253" s="5">
        <v>3422.5749999999998</v>
      </c>
      <c r="D253" s="5">
        <v>19</v>
      </c>
      <c r="E253" s="5">
        <v>95</v>
      </c>
      <c r="F253" s="5">
        <v>15</v>
      </c>
    </row>
    <row r="254" spans="1:6" x14ac:dyDescent="0.3">
      <c r="A254" s="5" t="s">
        <v>96</v>
      </c>
      <c r="B254" s="5" t="s">
        <v>40</v>
      </c>
      <c r="C254" s="5">
        <v>1757.7249999999999</v>
      </c>
      <c r="D254" s="5">
        <v>5</v>
      </c>
      <c r="E254" s="5">
        <v>53</v>
      </c>
      <c r="F254" s="5">
        <v>10</v>
      </c>
    </row>
    <row r="255" spans="1:6" x14ac:dyDescent="0.3">
      <c r="A255" s="5" t="s">
        <v>96</v>
      </c>
      <c r="B255" s="5" t="s">
        <v>41</v>
      </c>
      <c r="C255" s="5">
        <v>792.3</v>
      </c>
      <c r="D255" s="5">
        <v>6</v>
      </c>
      <c r="E255" s="5">
        <v>19</v>
      </c>
      <c r="F255" s="5">
        <v>5</v>
      </c>
    </row>
    <row r="256" spans="1:6" x14ac:dyDescent="0.3">
      <c r="A256" s="5" t="s">
        <v>96</v>
      </c>
      <c r="B256" s="5" t="s">
        <v>42</v>
      </c>
      <c r="C256" s="5">
        <v>867.3</v>
      </c>
      <c r="D256" s="5">
        <v>8</v>
      </c>
      <c r="E256" s="5">
        <v>23</v>
      </c>
      <c r="F256" s="5">
        <v>5</v>
      </c>
    </row>
    <row r="257" spans="1:6" x14ac:dyDescent="0.3">
      <c r="A257" s="5" t="s">
        <v>96</v>
      </c>
      <c r="B257" s="5" t="s">
        <v>6</v>
      </c>
      <c r="C257" s="5">
        <v>0</v>
      </c>
      <c r="D257" s="5">
        <v>0</v>
      </c>
      <c r="E257" s="5">
        <v>0</v>
      </c>
      <c r="F257" s="5">
        <v>0</v>
      </c>
    </row>
    <row r="258" spans="1:6" x14ac:dyDescent="0.3">
      <c r="A258" s="5" t="s">
        <v>1</v>
      </c>
      <c r="B258" s="5" t="s">
        <v>2</v>
      </c>
      <c r="C258" s="5" t="s">
        <v>3</v>
      </c>
      <c r="D258" s="5" t="s">
        <v>4</v>
      </c>
      <c r="E258" s="5" t="s">
        <v>5</v>
      </c>
      <c r="F258" s="5" t="s">
        <v>26</v>
      </c>
    </row>
    <row r="259" spans="1:6" x14ac:dyDescent="0.3">
      <c r="A259" s="5" t="s">
        <v>97</v>
      </c>
      <c r="B259" s="5" t="s">
        <v>97</v>
      </c>
      <c r="C259" s="5">
        <v>15282.235000000002</v>
      </c>
      <c r="D259" s="5">
        <v>69</v>
      </c>
      <c r="E259" s="5">
        <v>451</v>
      </c>
      <c r="F259" s="5">
        <v>65</v>
      </c>
    </row>
    <row r="260" spans="1:6" x14ac:dyDescent="0.3">
      <c r="A260" s="5" t="s">
        <v>97</v>
      </c>
      <c r="B260" s="5" t="s">
        <v>40</v>
      </c>
      <c r="C260" s="5">
        <v>7494.5099999999993</v>
      </c>
      <c r="D260" s="5">
        <v>10</v>
      </c>
      <c r="E260" s="5">
        <v>214</v>
      </c>
      <c r="F260" s="5">
        <v>35</v>
      </c>
    </row>
    <row r="261" spans="1:6" x14ac:dyDescent="0.3">
      <c r="A261" s="5" t="s">
        <v>97</v>
      </c>
      <c r="B261" s="5" t="s">
        <v>41</v>
      </c>
      <c r="C261" s="5">
        <v>7787.7249999999995</v>
      </c>
      <c r="D261" s="5">
        <v>59</v>
      </c>
      <c r="E261" s="5">
        <v>237</v>
      </c>
      <c r="F261" s="5">
        <v>35</v>
      </c>
    </row>
    <row r="262" spans="1:6" x14ac:dyDescent="0.3">
      <c r="A262" s="5" t="s">
        <v>97</v>
      </c>
      <c r="B262" s="5" t="s">
        <v>6</v>
      </c>
      <c r="C262" s="5">
        <v>0</v>
      </c>
      <c r="D262" s="5">
        <v>0</v>
      </c>
      <c r="E262" s="5">
        <v>0</v>
      </c>
      <c r="F262" s="5">
        <v>0</v>
      </c>
    </row>
    <row r="263" spans="1:6" x14ac:dyDescent="0.3">
      <c r="A263" s="5" t="s">
        <v>1</v>
      </c>
      <c r="B263" s="5" t="s">
        <v>2</v>
      </c>
      <c r="C263" s="5" t="s">
        <v>3</v>
      </c>
      <c r="D263" s="5" t="s">
        <v>4</v>
      </c>
      <c r="E263" s="5" t="s">
        <v>5</v>
      </c>
      <c r="F263" s="5" t="s">
        <v>26</v>
      </c>
    </row>
    <row r="264" spans="1:6" x14ac:dyDescent="0.3">
      <c r="A264" s="5" t="s">
        <v>98</v>
      </c>
      <c r="B264" s="5" t="s">
        <v>98</v>
      </c>
      <c r="C264" s="5">
        <v>3232.51</v>
      </c>
      <c r="D264" s="5">
        <v>11</v>
      </c>
      <c r="E264" s="5">
        <v>86</v>
      </c>
      <c r="F264" s="5">
        <v>15</v>
      </c>
    </row>
    <row r="265" spans="1:6" x14ac:dyDescent="0.3">
      <c r="A265" s="5" t="s">
        <v>98</v>
      </c>
      <c r="B265" s="5" t="s">
        <v>6</v>
      </c>
      <c r="C265" s="5">
        <v>3232.51</v>
      </c>
      <c r="D265" s="5">
        <v>11</v>
      </c>
      <c r="E265" s="5">
        <v>86</v>
      </c>
      <c r="F265" s="5">
        <v>15</v>
      </c>
    </row>
    <row r="266" spans="1:6" x14ac:dyDescent="0.3">
      <c r="A266" s="5" t="s">
        <v>1</v>
      </c>
      <c r="B266" s="5" t="s">
        <v>2</v>
      </c>
      <c r="C266" s="5" t="s">
        <v>3</v>
      </c>
      <c r="D266" s="5" t="s">
        <v>4</v>
      </c>
      <c r="E266" s="5" t="s">
        <v>5</v>
      </c>
      <c r="F266" s="5" t="s">
        <v>26</v>
      </c>
    </row>
    <row r="267" spans="1:6" x14ac:dyDescent="0.3">
      <c r="A267" s="5" t="s">
        <v>99</v>
      </c>
      <c r="B267" s="5" t="s">
        <v>99</v>
      </c>
      <c r="C267" s="5">
        <v>2473.0700000000002</v>
      </c>
      <c r="D267" s="5">
        <v>24</v>
      </c>
      <c r="E267" s="5">
        <v>112</v>
      </c>
      <c r="F267" s="5">
        <v>20</v>
      </c>
    </row>
    <row r="268" spans="1:6" x14ac:dyDescent="0.3">
      <c r="A268" s="5" t="s">
        <v>99</v>
      </c>
      <c r="B268" s="5" t="s">
        <v>40</v>
      </c>
      <c r="C268" s="5">
        <v>1615.5449999999998</v>
      </c>
      <c r="D268" s="5">
        <v>4</v>
      </c>
      <c r="E268" s="5">
        <v>67</v>
      </c>
      <c r="F268" s="5">
        <v>10</v>
      </c>
    </row>
    <row r="269" spans="1:6" x14ac:dyDescent="0.3">
      <c r="A269" s="5" t="s">
        <v>99</v>
      </c>
      <c r="B269" s="5" t="s">
        <v>41</v>
      </c>
      <c r="C269" s="5">
        <v>857.52499999999998</v>
      </c>
      <c r="D269" s="5">
        <v>20</v>
      </c>
      <c r="E269" s="5">
        <v>45</v>
      </c>
      <c r="F269" s="5">
        <v>10</v>
      </c>
    </row>
    <row r="270" spans="1:6" x14ac:dyDescent="0.3">
      <c r="A270" s="5" t="s">
        <v>99</v>
      </c>
      <c r="B270" s="5" t="s">
        <v>6</v>
      </c>
      <c r="C270" s="5">
        <v>0</v>
      </c>
      <c r="D270" s="5">
        <v>0</v>
      </c>
      <c r="E270" s="5">
        <v>0</v>
      </c>
      <c r="F270" s="5">
        <v>0</v>
      </c>
    </row>
    <row r="271" spans="1:6" x14ac:dyDescent="0.3">
      <c r="A271" s="5" t="s">
        <v>1</v>
      </c>
      <c r="B271" s="5" t="s">
        <v>2</v>
      </c>
      <c r="C271" s="5" t="s">
        <v>3</v>
      </c>
      <c r="D271" s="5" t="s">
        <v>4</v>
      </c>
      <c r="E271" s="5" t="s">
        <v>5</v>
      </c>
      <c r="F271" s="5" t="s">
        <v>26</v>
      </c>
    </row>
    <row r="272" spans="1:6" x14ac:dyDescent="0.3">
      <c r="A272" s="5" t="s">
        <v>100</v>
      </c>
      <c r="B272" s="5" t="s">
        <v>100</v>
      </c>
      <c r="C272" s="5">
        <v>1788.652</v>
      </c>
      <c r="D272" s="5">
        <v>15</v>
      </c>
      <c r="E272" s="5">
        <v>60</v>
      </c>
      <c r="F272" s="5">
        <v>10</v>
      </c>
    </row>
    <row r="273" spans="1:6" x14ac:dyDescent="0.3">
      <c r="A273" s="5" t="s">
        <v>100</v>
      </c>
      <c r="B273" s="5" t="s">
        <v>40</v>
      </c>
      <c r="C273" s="5">
        <v>570</v>
      </c>
      <c r="D273" s="5">
        <v>2</v>
      </c>
      <c r="E273" s="5">
        <v>20</v>
      </c>
      <c r="F273" s="5">
        <v>5</v>
      </c>
    </row>
    <row r="274" spans="1:6" x14ac:dyDescent="0.3">
      <c r="A274" s="5" t="s">
        <v>100</v>
      </c>
      <c r="B274" s="5" t="s">
        <v>41</v>
      </c>
      <c r="C274" s="5">
        <v>1216.152</v>
      </c>
      <c r="D274" s="5">
        <v>13</v>
      </c>
      <c r="E274" s="5">
        <v>40</v>
      </c>
      <c r="F274" s="5">
        <v>10</v>
      </c>
    </row>
    <row r="275" spans="1:6" x14ac:dyDescent="0.3">
      <c r="A275" s="5" t="s">
        <v>100</v>
      </c>
      <c r="B275" s="5" t="s">
        <v>6</v>
      </c>
      <c r="C275" s="5">
        <v>0</v>
      </c>
      <c r="D275" s="5">
        <v>0</v>
      </c>
      <c r="E275" s="5">
        <v>0</v>
      </c>
      <c r="F275" s="5">
        <v>0</v>
      </c>
    </row>
    <row r="276" spans="1:6" x14ac:dyDescent="0.3">
      <c r="A276" s="5" t="s">
        <v>1</v>
      </c>
      <c r="B276" s="5" t="s">
        <v>2</v>
      </c>
      <c r="C276" s="5" t="s">
        <v>3</v>
      </c>
      <c r="D276" s="5" t="s">
        <v>4</v>
      </c>
      <c r="E276" s="5" t="s">
        <v>5</v>
      </c>
      <c r="F276" s="5" t="s">
        <v>26</v>
      </c>
    </row>
    <row r="277" spans="1:6" x14ac:dyDescent="0.3">
      <c r="A277" s="5" t="s">
        <v>101</v>
      </c>
      <c r="B277" s="5" t="s">
        <v>101</v>
      </c>
      <c r="C277" s="5">
        <v>20792.614999999998</v>
      </c>
      <c r="D277" s="5">
        <v>99</v>
      </c>
      <c r="E277" s="5">
        <v>624</v>
      </c>
      <c r="F277" s="5">
        <v>90</v>
      </c>
    </row>
    <row r="278" spans="1:6" x14ac:dyDescent="0.3">
      <c r="A278" s="5" t="s">
        <v>101</v>
      </c>
      <c r="B278" s="5" t="s">
        <v>40</v>
      </c>
      <c r="C278" s="5">
        <v>9180.0500000000011</v>
      </c>
      <c r="D278" s="5">
        <v>17</v>
      </c>
      <c r="E278" s="5">
        <v>244</v>
      </c>
      <c r="F278" s="5">
        <v>35</v>
      </c>
    </row>
    <row r="279" spans="1:6" x14ac:dyDescent="0.3">
      <c r="A279" s="5" t="s">
        <v>101</v>
      </c>
      <c r="B279" s="5" t="s">
        <v>41</v>
      </c>
      <c r="C279" s="5">
        <v>1084.7</v>
      </c>
      <c r="D279" s="5">
        <v>1</v>
      </c>
      <c r="E279" s="5">
        <v>34</v>
      </c>
      <c r="F279" s="5">
        <v>5</v>
      </c>
    </row>
    <row r="280" spans="1:6" x14ac:dyDescent="0.3">
      <c r="A280" s="5" t="s">
        <v>101</v>
      </c>
      <c r="B280" s="5" t="s">
        <v>42</v>
      </c>
      <c r="C280" s="5">
        <v>10527.865</v>
      </c>
      <c r="D280" s="5">
        <v>81</v>
      </c>
      <c r="E280" s="5">
        <v>346</v>
      </c>
      <c r="F280" s="5">
        <v>50</v>
      </c>
    </row>
    <row r="281" spans="1:6" x14ac:dyDescent="0.3">
      <c r="A281" s="5" t="s">
        <v>101</v>
      </c>
      <c r="B281" s="5" t="s">
        <v>6</v>
      </c>
      <c r="C281" s="5">
        <v>0</v>
      </c>
      <c r="D281" s="5">
        <v>0</v>
      </c>
      <c r="E281" s="5">
        <v>0</v>
      </c>
      <c r="F281" s="5">
        <v>0</v>
      </c>
    </row>
    <row r="282" spans="1:6" x14ac:dyDescent="0.3">
      <c r="A282" s="5" t="s">
        <v>1</v>
      </c>
      <c r="B282" s="5" t="s">
        <v>2</v>
      </c>
      <c r="C282" s="5" t="s">
        <v>3</v>
      </c>
      <c r="D282" s="5" t="s">
        <v>4</v>
      </c>
      <c r="E282" s="5" t="s">
        <v>5</v>
      </c>
      <c r="F282" s="5" t="s">
        <v>26</v>
      </c>
    </row>
    <row r="283" spans="1:6" x14ac:dyDescent="0.3">
      <c r="A283" s="5" t="s">
        <v>102</v>
      </c>
      <c r="B283" s="5" t="s">
        <v>102</v>
      </c>
      <c r="C283" s="5">
        <v>1939.011</v>
      </c>
      <c r="D283" s="5">
        <v>10</v>
      </c>
      <c r="E283" s="5">
        <v>108</v>
      </c>
      <c r="F283" s="5">
        <v>20</v>
      </c>
    </row>
    <row r="284" spans="1:6" x14ac:dyDescent="0.3">
      <c r="A284" s="5" t="s">
        <v>102</v>
      </c>
      <c r="B284" s="5" t="s">
        <v>40</v>
      </c>
      <c r="C284" s="5">
        <v>728.81099999999992</v>
      </c>
      <c r="D284" s="5">
        <v>5</v>
      </c>
      <c r="E284" s="5">
        <v>29</v>
      </c>
      <c r="F284" s="5">
        <v>5</v>
      </c>
    </row>
    <row r="285" spans="1:6" x14ac:dyDescent="0.3">
      <c r="A285" s="5" t="s">
        <v>102</v>
      </c>
      <c r="B285" s="5" t="s">
        <v>41</v>
      </c>
      <c r="C285" s="5">
        <v>1142.825</v>
      </c>
      <c r="D285" s="5">
        <v>4</v>
      </c>
      <c r="E285" s="5">
        <v>73</v>
      </c>
      <c r="F285" s="5">
        <v>15</v>
      </c>
    </row>
    <row r="286" spans="1:6" x14ac:dyDescent="0.3">
      <c r="A286" s="5" t="s">
        <v>102</v>
      </c>
      <c r="B286" s="5" t="s">
        <v>42</v>
      </c>
      <c r="C286" s="5">
        <v>63</v>
      </c>
      <c r="D286" s="5">
        <v>1</v>
      </c>
      <c r="E286" s="5">
        <v>6</v>
      </c>
      <c r="F286" s="5">
        <v>5</v>
      </c>
    </row>
    <row r="287" spans="1:6" x14ac:dyDescent="0.3">
      <c r="A287" s="5" t="s">
        <v>102</v>
      </c>
      <c r="B287" s="5" t="s">
        <v>6</v>
      </c>
      <c r="C287" s="5">
        <v>0</v>
      </c>
      <c r="D287" s="5">
        <v>0</v>
      </c>
      <c r="E287" s="5">
        <v>0</v>
      </c>
      <c r="F287" s="5">
        <v>0</v>
      </c>
    </row>
    <row r="288" spans="1:6" x14ac:dyDescent="0.3">
      <c r="A288" s="5" t="s">
        <v>1</v>
      </c>
      <c r="B288" s="5" t="s">
        <v>2</v>
      </c>
      <c r="C288" s="5" t="s">
        <v>3</v>
      </c>
      <c r="D288" s="5" t="s">
        <v>4</v>
      </c>
      <c r="E288" s="5" t="s">
        <v>5</v>
      </c>
      <c r="F288" s="5" t="s">
        <v>26</v>
      </c>
    </row>
    <row r="289" spans="1:6" x14ac:dyDescent="0.3">
      <c r="A289" s="5" t="s">
        <v>103</v>
      </c>
      <c r="B289" s="5" t="s">
        <v>103</v>
      </c>
      <c r="C289" s="5">
        <v>3409.375</v>
      </c>
      <c r="D289" s="5">
        <v>19</v>
      </c>
      <c r="E289" s="5">
        <v>95</v>
      </c>
      <c r="F289" s="5">
        <v>15</v>
      </c>
    </row>
    <row r="290" spans="1:6" x14ac:dyDescent="0.3">
      <c r="A290" s="5" t="s">
        <v>103</v>
      </c>
      <c r="B290" s="5" t="s">
        <v>40</v>
      </c>
      <c r="C290" s="5">
        <v>1757.7249999999999</v>
      </c>
      <c r="D290" s="5">
        <v>5</v>
      </c>
      <c r="E290" s="5">
        <v>53</v>
      </c>
      <c r="F290" s="5">
        <v>10</v>
      </c>
    </row>
    <row r="291" spans="1:6" x14ac:dyDescent="0.3">
      <c r="A291" s="5" t="s">
        <v>103</v>
      </c>
      <c r="B291" s="5" t="s">
        <v>41</v>
      </c>
      <c r="C291" s="5">
        <v>792.3</v>
      </c>
      <c r="D291" s="5">
        <v>6</v>
      </c>
      <c r="E291" s="5">
        <v>19</v>
      </c>
      <c r="F291" s="5">
        <v>5</v>
      </c>
    </row>
    <row r="292" spans="1:6" x14ac:dyDescent="0.3">
      <c r="A292" s="5" t="s">
        <v>103</v>
      </c>
      <c r="B292" s="5" t="s">
        <v>42</v>
      </c>
      <c r="C292" s="5">
        <v>854.1</v>
      </c>
      <c r="D292" s="5">
        <v>8</v>
      </c>
      <c r="E292" s="5">
        <v>23</v>
      </c>
      <c r="F292" s="5">
        <v>5</v>
      </c>
    </row>
    <row r="293" spans="1:6" x14ac:dyDescent="0.3">
      <c r="A293" s="5" t="s">
        <v>103</v>
      </c>
      <c r="B293" s="5" t="s">
        <v>6</v>
      </c>
      <c r="C293" s="5">
        <v>0</v>
      </c>
      <c r="D293" s="5">
        <v>0</v>
      </c>
      <c r="E293" s="5">
        <v>0</v>
      </c>
      <c r="F293" s="5">
        <v>0</v>
      </c>
    </row>
    <row r="294" spans="1:6" x14ac:dyDescent="0.3">
      <c r="A294" s="5" t="s">
        <v>1</v>
      </c>
      <c r="B294" s="5" t="s">
        <v>2</v>
      </c>
      <c r="C294" s="5" t="s">
        <v>3</v>
      </c>
      <c r="D294" s="5" t="s">
        <v>4</v>
      </c>
      <c r="E294" s="5" t="s">
        <v>5</v>
      </c>
      <c r="F294" s="5" t="s">
        <v>26</v>
      </c>
    </row>
    <row r="295" spans="1:6" x14ac:dyDescent="0.3">
      <c r="A295" s="5" t="s">
        <v>104</v>
      </c>
      <c r="B295" s="5" t="s">
        <v>104</v>
      </c>
      <c r="C295" s="5">
        <v>11757.185000000001</v>
      </c>
      <c r="D295" s="5">
        <v>68</v>
      </c>
      <c r="E295" s="5">
        <v>437</v>
      </c>
      <c r="F295" s="5">
        <v>65</v>
      </c>
    </row>
    <row r="296" spans="1:6" x14ac:dyDescent="0.3">
      <c r="A296" s="5" t="s">
        <v>104</v>
      </c>
      <c r="B296" s="5" t="s">
        <v>40</v>
      </c>
      <c r="C296" s="5">
        <v>7522.0249999999996</v>
      </c>
      <c r="D296" s="5">
        <v>10</v>
      </c>
      <c r="E296" s="5">
        <v>217</v>
      </c>
      <c r="F296" s="5">
        <v>35</v>
      </c>
    </row>
    <row r="297" spans="1:6" x14ac:dyDescent="0.3">
      <c r="A297" s="5" t="s">
        <v>104</v>
      </c>
      <c r="B297" s="5" t="s">
        <v>41</v>
      </c>
      <c r="C297" s="5">
        <v>4235.16</v>
      </c>
      <c r="D297" s="5">
        <v>58</v>
      </c>
      <c r="E297" s="5">
        <v>220</v>
      </c>
      <c r="F297" s="5">
        <v>35</v>
      </c>
    </row>
    <row r="298" spans="1:6" x14ac:dyDescent="0.3">
      <c r="A298" s="5" t="s">
        <v>104</v>
      </c>
      <c r="B298" s="5" t="s">
        <v>6</v>
      </c>
      <c r="C298" s="5">
        <v>0</v>
      </c>
      <c r="D298" s="5">
        <v>0</v>
      </c>
      <c r="E298" s="5">
        <v>0</v>
      </c>
      <c r="F298" s="5"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X</vt:lpstr>
      <vt:lpstr>Lista</vt:lpstr>
    </vt:vector>
  </TitlesOfParts>
  <Company>Stadler Rail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Rytel Piotr STAPS</dc:creator>
  <cp:lastModifiedBy>Rytel Piotr STAPS</cp:lastModifiedBy>
  <cp:lastPrinted>2018-02-28T08:35:41Z</cp:lastPrinted>
  <dcterms:created xsi:type="dcterms:W3CDTF">2018-02-26T11:58:27Z</dcterms:created>
  <dcterms:modified xsi:type="dcterms:W3CDTF">2022-10-06T08:38:01Z</dcterms:modified>
</cp:coreProperties>
</file>